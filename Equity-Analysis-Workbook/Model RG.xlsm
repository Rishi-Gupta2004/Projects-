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Actually My Stuff\Stonks\VBA Shiz\"/>
    </mc:Choice>
  </mc:AlternateContent>
  <xr:revisionPtr revIDLastSave="0" documentId="13_ncr:1_{B842CB1D-9A38-45F7-BEF3-76A26A4B194E}" xr6:coauthVersionLast="47" xr6:coauthVersionMax="47" xr10:uidLastSave="{00000000-0000-0000-0000-000000000000}"/>
  <bookViews>
    <workbookView xWindow="-21780" yWindow="2985" windowWidth="21210" windowHeight="16740" firstSheet="1" activeTab="1" xr2:uid="{50F256A4-76E3-4995-88D1-99B8CE91A81A}"/>
  </bookViews>
  <sheets>
    <sheet name="Dashboard" sheetId="8" r:id="rId1"/>
    <sheet name="Assumptions" sheetId="10" r:id="rId2"/>
    <sheet name="Formulas" sheetId="11" r:id="rId3"/>
    <sheet name="Financials" sheetId="2" r:id="rId4"/>
    <sheet name="Valuation" sheetId="3" r:id="rId5"/>
    <sheet name="MC_Output" sheetId="6" r:id="rId6"/>
    <sheet name="Scenarios" sheetId="5" r:id="rId7"/>
    <sheet name="MC_Histogram" sheetId="7" r:id="rId8"/>
    <sheet name="Qualitative" sheetId="4" r:id="rId9"/>
  </sheets>
  <functionGroups builtInGroupCount="19"/>
  <definedNames>
    <definedName name="_xleta.COUNT" hidden="1" xlm="1">#NAME?</definedName>
    <definedName name="_xleta.SORT" hidden="1" xlm="1">#NAME?</definedName>
    <definedName name="Alphabet_Inc.">#REF!</definedName>
    <definedName name="AnnualDilutionPct">Assumptions!$C$26</definedName>
    <definedName name="BaseCapEx">Assumptions!$F$17</definedName>
    <definedName name="BaseCOGS">Assumptions!$F$5</definedName>
    <definedName name="BaseCurrentAssets">Assumptions!$F$18</definedName>
    <definedName name="BaseCurrentLiab">Assumptions!$F$19</definedName>
    <definedName name="BaseDA">Assumptions!$F$15</definedName>
    <definedName name="BaseGA">Assumptions!$F$9</definedName>
    <definedName name="BaseGrossProfit">Assumptions!$F$6</definedName>
    <definedName name="BaseInventory" comment="Base year inventory ($M)">Assumptions!$C$39</definedName>
    <definedName name="BaseNetIncome">Assumptions!$F$14</definedName>
    <definedName name="BaseOpEx">Assumptions!$F$10</definedName>
    <definedName name="BaseOpInc">Assumptions!$F$11</definedName>
    <definedName name="BaseOtherIncome">Assumptions!$F$12</definedName>
    <definedName name="BasePayables" comment="Base year accounts payable ($M)">Assumptions!$C$40</definedName>
    <definedName name="BasePPE">Assumptions!$I$50</definedName>
    <definedName name="BasePreTax">Assumptions!$F$13</definedName>
    <definedName name="BaseRD">Assumptions!$F$7</definedName>
    <definedName name="BaseReceivables" comment="Base year accounts receivable ($M)">Assumptions!$C$38</definedName>
    <definedName name="BaseRev_1">Assumptions!$K$9</definedName>
    <definedName name="BaseRev_2">Assumptions!$K$15</definedName>
    <definedName name="BaseRev_3">Assumptions!$K$21</definedName>
    <definedName name="BaseRev_4">Assumptions!$K$27</definedName>
    <definedName name="BaseRevenue">Assumptions!$F$4</definedName>
    <definedName name="BaseSBC">Assumptions!$F$16</definedName>
    <definedName name="BaseSM">Assumptions!$F$8</definedName>
    <definedName name="BaseYear">Assumptions!$C$11</definedName>
    <definedName name="Beta">Assumptions!$C$49</definedName>
    <definedName name="BetaValue">Assumptions!$C$49</definedName>
    <definedName name="BuybackPct">#REF!</definedName>
    <definedName name="BuybackYield">Assumptions!$C$27</definedName>
    <definedName name="CapExPct">Assumptions!$C$21</definedName>
    <definedName name="CapExPctRevFinal">#REF!</definedName>
    <definedName name="CapExPctRevY1">#REF!</definedName>
    <definedName name="CashBalance">Assumptions!$C$7</definedName>
    <definedName name="CompanyName">Assumptions!$C$4</definedName>
    <definedName name="CostOfDebt">Assumptions!$C$50</definedName>
    <definedName name="CurrentPrice">Assumptions!$C$5</definedName>
    <definedName name="CustomInput1Name">Assumptions!$C$88</definedName>
    <definedName name="CustomInput2Name">Assumptions!$C$89</definedName>
    <definedName name="DAPct">Assumptions!$C$22</definedName>
    <definedName name="DAPctRevFinal">#REF!</definedName>
    <definedName name="DAPctRevY1">#REF!</definedName>
    <definedName name="DCFBasis" comment="1=Cash Proxy (legacy), 2=UFCF">Assumptions!$C$55</definedName>
    <definedName name="DebtAmortPct" comment="Fraction of debt repaid annually (e.g. 0.05=5%)">Assumptions!$C$59</definedName>
    <definedName name="DebtBalance">Assumptions!$C$8</definedName>
    <definedName name="DebtWeight">#REF!</definedName>
    <definedName name="DIO" comment="Days Inventory Outstanding">Assumptions!$C$36</definedName>
    <definedName name="DiscountRate">Assumptions!$C$43</definedName>
    <definedName name="DistSelectors">#REF!</definedName>
    <definedName name="DPO" comment="Days Payable Outstanding">Assumptions!$C$37</definedName>
    <definedName name="DSO" comment="Days Sales Outstanding">Assumptions!$C$35</definedName>
    <definedName name="EquityRiskPrem">Assumptions!$C$48</definedName>
    <definedName name="EquityWeight">#REF!</definedName>
    <definedName name="ERP">Assumptions!$C$48</definedName>
    <definedName name="ExitMultiple" comment="Forward EV/UFCF multiple (used when TVMethod=3)">Assumptions!$C$56</definedName>
    <definedName name="FixedCOGS">Assumptions!$I$40</definedName>
    <definedName name="FixedCostInflation">Assumptions!$I$39</definedName>
    <definedName name="FixedGA">Assumptions!$I$46</definedName>
    <definedName name="FixedRD">Assumptions!$I$42</definedName>
    <definedName name="FixedSM">Assumptions!$I$44</definedName>
    <definedName name="ForecastEnd">Assumptions!$C$12</definedName>
    <definedName name="ForecastEndYear">Assumptions!$C$12</definedName>
    <definedName name="ForecastYearHeaders">#REF!</definedName>
    <definedName name="GALeverage">#REF!</definedName>
    <definedName name="GAPct">Assumptions!$C$20</definedName>
    <definedName name="GrossMargin">Assumptions!$C$16</definedName>
    <definedName name="Growth_1_Y1">Assumptions!$I$11</definedName>
    <definedName name="Growth_1_Y10">Assumptions!$R$11</definedName>
    <definedName name="Growth_1_Y11">Assumptions!$S$11</definedName>
    <definedName name="Growth_1_Y2">Assumptions!$J$11</definedName>
    <definedName name="Growth_1_Y3">Assumptions!$K$11</definedName>
    <definedName name="Growth_1_Y4">Assumptions!$L$11</definedName>
    <definedName name="Growth_1_Y5">Assumptions!$M$11</definedName>
    <definedName name="Growth_1_Y6">Assumptions!$N$11</definedName>
    <definedName name="Growth_1_Y7">Assumptions!$O$11</definedName>
    <definedName name="Growth_1_Y8">Assumptions!$P$11</definedName>
    <definedName name="Growth_1_Y9">Assumptions!$Q$11</definedName>
    <definedName name="Growth_2_Y1">Assumptions!$I$17</definedName>
    <definedName name="Growth_2_Y10">Assumptions!$R$17</definedName>
    <definedName name="Growth_2_Y11">Assumptions!$S$17</definedName>
    <definedName name="Growth_2_Y2">Assumptions!$J$17</definedName>
    <definedName name="Growth_2_Y3">Assumptions!$K$17</definedName>
    <definedName name="Growth_2_Y4">Assumptions!$L$17</definedName>
    <definedName name="Growth_2_Y5">Assumptions!$M$17</definedName>
    <definedName name="Growth_2_Y6">Assumptions!$N$17</definedName>
    <definedName name="Growth_2_Y7">Assumptions!$O$17</definedName>
    <definedName name="Growth_2_Y8">Assumptions!$P$17</definedName>
    <definedName name="Growth_2_Y9">Assumptions!$Q$17</definedName>
    <definedName name="Growth_3_Y1">Assumptions!$I$23</definedName>
    <definedName name="Growth_3_Y10">Assumptions!$R$23</definedName>
    <definedName name="Growth_3_Y11">Assumptions!$S$23</definedName>
    <definedName name="Growth_3_Y2">Assumptions!$J$23</definedName>
    <definedName name="Growth_3_Y3">Assumptions!$K$23</definedName>
    <definedName name="Growth_3_Y4">Assumptions!$L$23</definedName>
    <definedName name="Growth_3_Y5">Assumptions!$M$23</definedName>
    <definedName name="Growth_3_Y6">Assumptions!$N$23</definedName>
    <definedName name="Growth_3_Y7">Assumptions!$O$23</definedName>
    <definedName name="Growth_3_Y8">Assumptions!$P$23</definedName>
    <definedName name="Growth_3_Y9">Assumptions!$Q$23</definedName>
    <definedName name="Growth_4_Y1">Assumptions!$I$29</definedName>
    <definedName name="Growth_4_Y10">Assumptions!$R$29</definedName>
    <definedName name="Growth_4_Y11">Assumptions!$S$29</definedName>
    <definedName name="Growth_4_Y2">Assumptions!$J$29</definedName>
    <definedName name="Growth_4_Y3">Assumptions!$K$29</definedName>
    <definedName name="Growth_4_Y4">Assumptions!$L$29</definedName>
    <definedName name="Growth_4_Y5">Assumptions!$M$29</definedName>
    <definedName name="Growth_4_Y6">Assumptions!$N$29</definedName>
    <definedName name="Growth_4_Y7">Assumptions!$O$29</definedName>
    <definedName name="Growth_4_Y8">Assumptions!$P$29</definedName>
    <definedName name="Growth_4_Y9">Assumptions!$Q$29</definedName>
    <definedName name="GrowthArray">#REF!</definedName>
    <definedName name="GrowthCapExFactor">Assumptions!$I$53</definedName>
    <definedName name="MaintCapExPct">Assumptions!$I$52</definedName>
    <definedName name="Max">Assumptions!$C$52</definedName>
    <definedName name="MC_AutoCorr">Assumptions!$I$90</definedName>
    <definedName name="MC_CapEx_Dist">Assumptions!$C$100</definedName>
    <definedName name="MC_CapEx_P1">Assumptions!$D$100</definedName>
    <definedName name="MC_CapEx_P2">Assumptions!$E$100</definedName>
    <definedName name="MC_CapEx_P3">Assumptions!$F$100</definedName>
    <definedName name="MC_Custom1_Dist">Assumptions!$C$104</definedName>
    <definedName name="MC_Custom1_P1">Assumptions!$D$104</definedName>
    <definedName name="MC_Custom1_P2">Assumptions!$E$104</definedName>
    <definedName name="MC_Custom1_P3">Assumptions!$F$104</definedName>
    <definedName name="MC_Custom2_Dist">Assumptions!$C$105</definedName>
    <definedName name="MC_Custom2_P1">Assumptions!$D$105</definedName>
    <definedName name="MC_Custom2_P2">Assumptions!$E$105</definedName>
    <definedName name="MC_Custom2_P3">Assumptions!$F$105</definedName>
    <definedName name="MC_DR_Dist">Assumptions!$C$98</definedName>
    <definedName name="MC_DR_P1">Assumptions!$D$98</definedName>
    <definedName name="MC_DR_P2">Assumptions!$E$98</definedName>
    <definedName name="MC_DR_P3">Assumptions!$F$98</definedName>
    <definedName name="MC_GM_Dist">Assumptions!$C$96</definedName>
    <definedName name="MC_GM_P1">Assumptions!$D$96</definedName>
    <definedName name="MC_GM_P2">Assumptions!$E$96</definedName>
    <definedName name="MC_GM_P3">Assumptions!$F$96</definedName>
    <definedName name="MC_GrowthDRCorr">Assumptions!$I$89</definedName>
    <definedName name="MC_MarginGrowthCorr">Assumptions!$I$88</definedName>
    <definedName name="MC_MeanRevSpeed">Assumptions!$I$91</definedName>
    <definedName name="MC_Phase1_EndYear">Assumptions!$I$95</definedName>
    <definedName name="MC_Phase2_EndYear">Assumptions!$I$96</definedName>
    <definedName name="MC_PhaseNear_Dist">Assumptions!$I$99</definedName>
    <definedName name="MC_PhaseNear_P1">Assumptions!$I$100</definedName>
    <definedName name="MC_PhaseNear_P2">Assumptions!$I$101</definedName>
    <definedName name="MC_PhaseNear_P3">Assumptions!$I$102</definedName>
    <definedName name="MC_PhaseTerminal_Dist">Assumptions!$K$99</definedName>
    <definedName name="MC_PhaseTerminal_P1">Assumptions!$K$100</definedName>
    <definedName name="MC_PhaseTerminal_P2">Assumptions!$K$101</definedName>
    <definedName name="MC_PhaseTerminal_P3">Assumptions!$K$102</definedName>
    <definedName name="MC_PhaseUncertain_Dist">Assumptions!$J$99</definedName>
    <definedName name="MC_PhaseUncertain_P1">Assumptions!$J$100</definedName>
    <definedName name="MC_PhaseUncertain_P2">Assumptions!$J$101</definedName>
    <definedName name="MC_PhaseUncertain_P3">Assumptions!$J$102</definedName>
    <definedName name="MC_Seg1Growth_Dist">Assumptions!$C$92</definedName>
    <definedName name="MC_Seg1Growth_P1">Assumptions!$D$92</definedName>
    <definedName name="MC_Seg1Growth_P2">Assumptions!$E$92</definedName>
    <definedName name="MC_Seg1Growth_P3">Assumptions!$F$92</definedName>
    <definedName name="MC_Seg2Growth_Dist">Assumptions!$C$93</definedName>
    <definedName name="MC_Seg2Growth_P1">Assumptions!$D$93</definedName>
    <definedName name="MC_Seg2Growth_P2">Assumptions!$E$93</definedName>
    <definedName name="MC_Seg2Growth_P3">Assumptions!$F$93</definedName>
    <definedName name="MC_Seg3Growth_Dist">Assumptions!$C$94</definedName>
    <definedName name="MC_Seg3Growth_P1">Assumptions!$D$94</definedName>
    <definedName name="MC_Seg3Growth_P2">Assumptions!$E$94</definedName>
    <definedName name="MC_Seg3Growth_P3">Assumptions!$F$94</definedName>
    <definedName name="MC_Seg4Growth_Dist">Assumptions!$C$95</definedName>
    <definedName name="MC_Seg4Growth_P1">Assumptions!$D$95</definedName>
    <definedName name="MC_Seg4Growth_P2">Assumptions!$E$95</definedName>
    <definedName name="MC_Seg4Growth_P3">Assumptions!$F$95</definedName>
    <definedName name="MC_Tax_Dist">Assumptions!$C$97</definedName>
    <definedName name="MC_Tax_P1">Assumptions!$D$97</definedName>
    <definedName name="MC_Tax_P2">Assumptions!$E$97</definedName>
    <definedName name="MC_Tax_P3">Assumptions!$F$97</definedName>
    <definedName name="MC_TGR_Dist">Assumptions!$C$99</definedName>
    <definedName name="MC_TGR_P1">Assumptions!$D$99</definedName>
    <definedName name="MC_TGR_P2">Assumptions!$E$99</definedName>
    <definedName name="MC_TGR_P3">Assumptions!$F$99</definedName>
    <definedName name="MCIterations">Assumptions!$C$87</definedName>
    <definedName name="NWCPctRev">Assumptions!$C$31</definedName>
    <definedName name="PerpetuityYears">Assumptions!$C$13</definedName>
    <definedName name="Poo">#REF!</definedName>
    <definedName name="PPEUsefulLife">Assumptions!$I$51</definedName>
    <definedName name="RDLeverage">#REF!</definedName>
    <definedName name="RDPct">Assumptions!$C$18</definedName>
    <definedName name="RiskFreeRate">Assumptions!$C$47</definedName>
    <definedName name="ROIC">Assumptions!$C$51</definedName>
    <definedName name="SBCPct">Assumptions!$C$23</definedName>
    <definedName name="SBCToggle">#REF!</definedName>
    <definedName name="Scen_Base_CapExAdj">Assumptions!$D$70</definedName>
    <definedName name="Scen_Base_Decay" comment="Decay rate for Base adjustments">Assumptions!$D$72</definedName>
    <definedName name="Scen_Base_DRAdj">Assumptions!$D$68</definedName>
    <definedName name="Scen_Base_GMAdj">Assumptions!$D$66</definedName>
    <definedName name="Scen_Base_GMAdj_Y1">Assumptions!$C$80</definedName>
    <definedName name="Scen_Base_GMAdj_Y10">Assumptions!$L$80</definedName>
    <definedName name="Scen_Base_GMAdj_Y11">Assumptions!$M$80</definedName>
    <definedName name="Scen_Base_GMAdj_Y2">Assumptions!$D$80</definedName>
    <definedName name="Scen_Base_GMAdj_Y3">Assumptions!$E$80</definedName>
    <definedName name="Scen_Base_GMAdj_Y4">Assumptions!$F$80</definedName>
    <definedName name="Scen_Base_GMAdj_Y5">Assumptions!$G$80</definedName>
    <definedName name="Scen_Base_GMAdj_Y6">Assumptions!$H$80</definedName>
    <definedName name="Scen_Base_GMAdj_Y7">Assumptions!$I$80</definedName>
    <definedName name="Scen_Base_GMAdj_Y8">Assumptions!$J$80</definedName>
    <definedName name="Scen_Base_GMAdj_Y9">Assumptions!$K$80</definedName>
    <definedName name="Scen_Base_GrowthAdj_Y1">Assumptions!$C$79</definedName>
    <definedName name="Scen_Base_GrowthAdj_Y10">Assumptions!$L$79</definedName>
    <definedName name="Scen_Base_GrowthAdj_Y11">Assumptions!$M$79</definedName>
    <definedName name="Scen_Base_GrowthAdj_Y2">Assumptions!$D$79</definedName>
    <definedName name="Scen_Base_GrowthAdj_Y3">Assumptions!$E$79</definedName>
    <definedName name="Scen_Base_GrowthAdj_Y4">Assumptions!$F$79</definedName>
    <definedName name="Scen_Base_GrowthAdj_Y5">Assumptions!$G$79</definedName>
    <definedName name="Scen_Base_GrowthAdj_Y6">Assumptions!$H$79</definedName>
    <definedName name="Scen_Base_GrowthAdj_Y7">Assumptions!$I$79</definedName>
    <definedName name="Scen_Base_GrowthAdj_Y8">Assumptions!$J$79</definedName>
    <definedName name="Scen_Base_GrowthAdj_Y9">Assumptions!$K$79</definedName>
    <definedName name="Scen_Base_Prob">Assumptions!$D$71</definedName>
    <definedName name="Scen_Base_RevAdj">Assumptions!$D$65</definedName>
    <definedName name="Scen_Base_TaxAdj">Assumptions!$D$67</definedName>
    <definedName name="Scen_Base_TGRAdj">Assumptions!$D$69</definedName>
    <definedName name="Scen_Bear_CapExAdj">Assumptions!$E$70</definedName>
    <definedName name="Scen_Bear_Decay" comment="Decay rate for Bear adjustments">Assumptions!$E$72</definedName>
    <definedName name="Scen_Bear_DRAdj">Assumptions!$E$68</definedName>
    <definedName name="Scen_Bear_GMAdj">Assumptions!$E$66</definedName>
    <definedName name="Scen_Bear_GMAdj_Y1">Assumptions!$C$82</definedName>
    <definedName name="Scen_Bear_GMAdj_Y10">Assumptions!$L$82</definedName>
    <definedName name="Scen_Bear_GMAdj_Y11">Assumptions!$M$82</definedName>
    <definedName name="Scen_Bear_GMAdj_Y2">Assumptions!$D$82</definedName>
    <definedName name="Scen_Bear_GMAdj_Y3">Assumptions!$E$82</definedName>
    <definedName name="Scen_Bear_GMAdj_Y4">Assumptions!$F$82</definedName>
    <definedName name="Scen_Bear_GMAdj_Y5">Assumptions!$G$82</definedName>
    <definedName name="Scen_Bear_GMAdj_Y6">Assumptions!$H$82</definedName>
    <definedName name="Scen_Bear_GMAdj_Y7">Assumptions!$I$82</definedName>
    <definedName name="Scen_Bear_GMAdj_Y8">Assumptions!$J$82</definedName>
    <definedName name="Scen_Bear_GMAdj_Y9">Assumptions!$K$82</definedName>
    <definedName name="Scen_Bear_GrowthAdj_Y1">Assumptions!$C$81</definedName>
    <definedName name="Scen_Bear_GrowthAdj_Y10">Assumptions!$L$81</definedName>
    <definedName name="Scen_Bear_GrowthAdj_Y11">Assumptions!$M$81</definedName>
    <definedName name="Scen_Bear_GrowthAdj_Y2">Assumptions!$D$81</definedName>
    <definedName name="Scen_Bear_GrowthAdj_Y3">Assumptions!$E$81</definedName>
    <definedName name="Scen_Bear_GrowthAdj_Y4">Assumptions!$F$81</definedName>
    <definedName name="Scen_Bear_GrowthAdj_Y5">Assumptions!$G$81</definedName>
    <definedName name="Scen_Bear_GrowthAdj_Y6">Assumptions!$H$81</definedName>
    <definedName name="Scen_Bear_GrowthAdj_Y7">Assumptions!$I$81</definedName>
    <definedName name="Scen_Bear_GrowthAdj_Y8">Assumptions!$J$81</definedName>
    <definedName name="Scen_Bear_GrowthAdj_Y9">Assumptions!$K$81</definedName>
    <definedName name="Scen_Bear_Prob">Assumptions!$E$71</definedName>
    <definedName name="Scen_Bear_RevAdj">Assumptions!$E$65</definedName>
    <definedName name="Scen_Bear_TaxAdj">Assumptions!$E$67</definedName>
    <definedName name="Scen_Bear_TGRAdj">Assumptions!$E$69</definedName>
    <definedName name="Scen_Bull_CapExAdj">Assumptions!$C$70</definedName>
    <definedName name="Scen_Bull_Decay" comment="Decay rate for Bull adjustments (0=flat/legacy)">Assumptions!$C$72</definedName>
    <definedName name="Scen_Bull_DRAdj">Assumptions!$C$68</definedName>
    <definedName name="Scen_Bull_GMAdj">Assumptions!$C$66</definedName>
    <definedName name="Scen_Bull_GMAdj_Y1">Assumptions!$C$78</definedName>
    <definedName name="Scen_Bull_GMAdj_Y10">Assumptions!$L$78</definedName>
    <definedName name="Scen_Bull_GMAdj_Y11">Assumptions!$M$78</definedName>
    <definedName name="Scen_Bull_GMAdj_Y2">Assumptions!$D$78</definedName>
    <definedName name="Scen_Bull_GMAdj_Y3">Assumptions!$E$78</definedName>
    <definedName name="Scen_Bull_GMAdj_Y4">Assumptions!$F$78</definedName>
    <definedName name="Scen_Bull_GMAdj_Y5">Assumptions!$G$78</definedName>
    <definedName name="Scen_Bull_GMAdj_Y6">Assumptions!$H$78</definedName>
    <definedName name="Scen_Bull_GMAdj_Y7">Assumptions!$I$78</definedName>
    <definedName name="Scen_Bull_GMAdj_Y8">Assumptions!$J$78</definedName>
    <definedName name="Scen_Bull_GMAdj_Y9">Assumptions!$K$78</definedName>
    <definedName name="Scen_Bull_GrowthAdj_Y1">Assumptions!$C$77</definedName>
    <definedName name="Scen_Bull_GrowthAdj_Y10">Assumptions!$L$77</definedName>
    <definedName name="Scen_Bull_GrowthAdj_Y11">Assumptions!$M$77</definedName>
    <definedName name="Scen_Bull_GrowthAdj_Y2">Assumptions!$D$77</definedName>
    <definedName name="Scen_Bull_GrowthAdj_Y3">Assumptions!$E$77</definedName>
    <definedName name="Scen_Bull_GrowthAdj_Y4">Assumptions!$F$77</definedName>
    <definedName name="Scen_Bull_GrowthAdj_Y5">Assumptions!$G$77</definedName>
    <definedName name="Scen_Bull_GrowthAdj_Y6">Assumptions!$H$77</definedName>
    <definedName name="Scen_Bull_GrowthAdj_Y7">Assumptions!$I$77</definedName>
    <definedName name="Scen_Bull_GrowthAdj_Y8">Assumptions!$J$77</definedName>
    <definedName name="Scen_Bull_GrowthAdj_Y9">Assumptions!$K$77</definedName>
    <definedName name="Scen_Bull_Prob">Assumptions!$C$71</definedName>
    <definedName name="Scen_Bull_RevAdj">Assumptions!$C$65</definedName>
    <definedName name="Scen_Bull_TaxAdj">Assumptions!$C$67</definedName>
    <definedName name="Scen_Bull_TGRAdj">Assumptions!$C$69</definedName>
    <definedName name="SegGM_1">Assumptions!$M$9</definedName>
    <definedName name="SegGM_1_Y1">Assumptions!$I$12</definedName>
    <definedName name="SegGM_1_Y10">Assumptions!$R$12</definedName>
    <definedName name="SegGM_1_Y11">Assumptions!$S$12</definedName>
    <definedName name="SegGM_1_Y2">Assumptions!$J$12</definedName>
    <definedName name="SegGM_1_Y3">Assumptions!$K$12</definedName>
    <definedName name="SegGM_1_Y4">Assumptions!$L$12</definedName>
    <definedName name="SegGM_1_Y5">Assumptions!$M$12</definedName>
    <definedName name="SegGM_1_Y6">Assumptions!$N$12</definedName>
    <definedName name="SegGM_1_Y7">Assumptions!$O$12</definedName>
    <definedName name="SegGM_1_Y8">Assumptions!$P$12</definedName>
    <definedName name="SegGM_1_Y9">Assumptions!$Q$12</definedName>
    <definedName name="SegGM_2">Assumptions!$M$15</definedName>
    <definedName name="SegGM_2_Y1">Assumptions!$I$18</definedName>
    <definedName name="SegGM_2_Y10">Assumptions!$R$18</definedName>
    <definedName name="SegGM_2_Y11">Assumptions!$S$18</definedName>
    <definedName name="SegGM_2_Y2">Assumptions!$J$18</definedName>
    <definedName name="SegGM_2_Y3">Assumptions!$K$18</definedName>
    <definedName name="SegGM_2_Y4">Assumptions!$L$18</definedName>
    <definedName name="SegGM_2_Y5">Assumptions!$M$18</definedName>
    <definedName name="SegGM_2_Y6">Assumptions!$N$18</definedName>
    <definedName name="SegGM_2_Y7">Assumptions!$O$18</definedName>
    <definedName name="SegGM_2_Y8">Assumptions!$P$18</definedName>
    <definedName name="SegGM_2_Y9">Assumptions!$Q$18</definedName>
    <definedName name="SegGM_3">Assumptions!$M$21</definedName>
    <definedName name="SegGM_3_Y1">Assumptions!$I$24</definedName>
    <definedName name="SegGM_3_Y10">Assumptions!$R$24</definedName>
    <definedName name="SegGM_3_Y11">Assumptions!$S$24</definedName>
    <definedName name="SegGM_3_Y2">Assumptions!$J$24</definedName>
    <definedName name="SegGM_3_Y3">Assumptions!$K$24</definedName>
    <definedName name="SegGM_3_Y4">Assumptions!$L$24</definedName>
    <definedName name="SegGM_3_Y5">Assumptions!$M$24</definedName>
    <definedName name="SegGM_3_Y6">Assumptions!$N$24</definedName>
    <definedName name="SegGM_3_Y7">Assumptions!$O$24</definedName>
    <definedName name="SegGM_3_Y8">Assumptions!$P$24</definedName>
    <definedName name="SegGM_3_Y9">Assumptions!$Q$24</definedName>
    <definedName name="SegGM_4">Assumptions!$M$27</definedName>
    <definedName name="SegGM_4_Y1">Assumptions!$I$30</definedName>
    <definedName name="SegGM_4_Y10">Assumptions!$R$30</definedName>
    <definedName name="SegGM_4_Y11">Assumptions!$S$30</definedName>
    <definedName name="SegGM_4_Y2">Assumptions!$J$30</definedName>
    <definedName name="SegGM_4_Y3">Assumptions!$K$30</definedName>
    <definedName name="SegGM_4_Y4">Assumptions!$L$30</definedName>
    <definedName name="SegGM_4_Y5">Assumptions!$M$30</definedName>
    <definedName name="SegGM_4_Y6">Assumptions!$N$30</definedName>
    <definedName name="SegGM_4_Y7">Assumptions!$O$30</definedName>
    <definedName name="SegGM_4_Y8">Assumptions!$P$30</definedName>
    <definedName name="SegGM_4_Y9">Assumptions!$Q$30</definedName>
    <definedName name="SegmentCount">Assumptions!$I$4</definedName>
    <definedName name="SegName_1">Assumptions!$I$9</definedName>
    <definedName name="SegName_2">Assumptions!$I$15</definedName>
    <definedName name="SegName_3">Assumptions!$I$21</definedName>
    <definedName name="SegName_4">Assumptions!$I$27</definedName>
    <definedName name="SharesOut">Assumptions!$C$6</definedName>
    <definedName name="SMLeverage">#REF!</definedName>
    <definedName name="SMPct">Assumptions!$C$19</definedName>
    <definedName name="TargetDebtToEquity" comment="Target D/E ratio (e.g. 0.3=30%)">Assumptions!$C$58</definedName>
    <definedName name="TaxRate">Assumptions!$C$17</definedName>
    <definedName name="TGR">Assumptions!$C$44</definedName>
    <definedName name="Total_Debt___M">#REF!</definedName>
    <definedName name="TVMethod">Assumptions!$C$45</definedName>
    <definedName name="UseAssetHeavy">Assumptions!$I$36</definedName>
    <definedName name="UseDetailedNWC" comment="1=use DSO/DIO/DPO instead of NWC%">Assumptions!$C$34</definedName>
    <definedName name="UseSegmentGM">Assumptions!$I$5</definedName>
    <definedName name="UseTargetCapStruct" comment="1=use target D/E instead of market-cap weights">Assumptions!$C$57</definedName>
    <definedName name="UseWACC">Assumptions!$C$46</definedName>
    <definedName name="UseWorkingCap">Assumptions!$C$30</definedName>
    <definedName name="UseYoYGM">Assumptions!$I$6</definedName>
    <definedName name="VarCOGSPct">Assumptions!$I$41</definedName>
    <definedName name="VarGAPct">Assumptions!$I$47</definedName>
    <definedName name="VarRDPct">Assumptions!$I$43</definedName>
    <definedName name="VarSMPct">Assumptions!$I$45</definedName>
    <definedName name="WACCOverride">#REF!</definedName>
    <definedName name="WACCOverride\">#REF!</definedName>
    <definedName name="YoYGM">Assumptions!$I$6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1" i="11" l="1"/>
  <c r="I42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0" i="11"/>
  <c r="I19" i="11"/>
  <c r="I18" i="11"/>
  <c r="I17" i="11"/>
  <c r="I16" i="11"/>
  <c r="I13" i="11"/>
  <c r="I10" i="11"/>
  <c r="I9" i="11"/>
  <c r="I8" i="11"/>
  <c r="I6" i="11"/>
  <c r="I5" i="11"/>
  <c r="F10" i="10"/>
  <c r="I11" i="11" s="1"/>
  <c r="F6" i="10"/>
  <c r="F11" i="10" l="1"/>
  <c r="I7" i="11"/>
  <c r="I52" i="11" s="1"/>
  <c r="E8" i="11" s="1"/>
  <c r="E22" i="11"/>
  <c r="E72" i="11"/>
  <c r="E11" i="11"/>
  <c r="E19" i="11"/>
  <c r="E78" i="11"/>
  <c r="E17" i="11"/>
  <c r="E16" i="11"/>
  <c r="E15" i="11"/>
  <c r="E10" i="11"/>
  <c r="E9" i="11"/>
  <c r="E6" i="11"/>
  <c r="E57" i="11"/>
  <c r="F13" i="10" l="1"/>
  <c r="I12" i="11"/>
  <c r="I46" i="11"/>
  <c r="I59" i="11"/>
  <c r="E55" i="11" s="1"/>
  <c r="E58" i="11"/>
  <c r="I47" i="11"/>
  <c r="E20" i="11"/>
  <c r="E23" i="11"/>
  <c r="I56" i="11"/>
  <c r="E59" i="11"/>
  <c r="E7" i="11"/>
  <c r="E5" i="11"/>
  <c r="I48" i="11"/>
  <c r="I54" i="11"/>
  <c r="I58" i="11"/>
  <c r="E80" i="11" s="1"/>
  <c r="I60" i="11"/>
  <c r="I53" i="11"/>
  <c r="E36" i="11" s="1"/>
  <c r="I57" i="11"/>
  <c r="E79" i="11" s="1"/>
  <c r="F14" i="10" l="1"/>
  <c r="I15" i="11" s="1"/>
  <c r="I14" i="11"/>
  <c r="E30" i="11"/>
  <c r="E37" i="11"/>
  <c r="I67" i="11"/>
  <c r="E41" i="11" s="1"/>
  <c r="E26" i="11"/>
  <c r="E82" i="11"/>
  <c r="E24" i="11"/>
  <c r="O135" i="11"/>
  <c r="E46" i="11"/>
  <c r="E25" i="11"/>
  <c r="E21" i="11"/>
  <c r="E76" i="11"/>
  <c r="O148" i="11" l="1"/>
  <c r="I61" i="11"/>
  <c r="E12" i="11"/>
  <c r="I51" i="11"/>
  <c r="I50" i="11"/>
  <c r="E51" i="11" s="1"/>
  <c r="I49" i="11"/>
  <c r="I74" i="11" s="1"/>
  <c r="E61" i="11" s="1"/>
  <c r="E13" i="11"/>
  <c r="E75" i="11"/>
  <c r="N135" i="11"/>
  <c r="I66" i="11"/>
  <c r="E40" i="11" s="1"/>
  <c r="I72" i="11"/>
  <c r="E53" i="11" s="1"/>
  <c r="I65" i="11" l="1"/>
  <c r="I75" i="11"/>
  <c r="E33" i="11" s="1"/>
  <c r="I71" i="11"/>
  <c r="E45" i="11" s="1"/>
  <c r="I55" i="11"/>
  <c r="I81" i="11" s="1"/>
  <c r="I82" i="11" s="1"/>
  <c r="E14" i="11"/>
  <c r="I70" i="11"/>
  <c r="E44" i="11" s="1"/>
  <c r="I78" i="11"/>
  <c r="I79" i="11" s="1"/>
  <c r="I80" i="11" s="1"/>
  <c r="I77" i="11"/>
  <c r="E67" i="11" s="1"/>
  <c r="E48" i="11"/>
  <c r="E47" i="11"/>
  <c r="E32" i="11"/>
  <c r="E54" i="11"/>
  <c r="E52" i="11"/>
  <c r="E29" i="11"/>
  <c r="E62" i="11"/>
  <c r="E27" i="11"/>
  <c r="E65" i="11"/>
  <c r="E28" i="11"/>
  <c r="E71" i="11"/>
  <c r="I76" i="11" l="1"/>
  <c r="E34" i="11" s="1"/>
  <c r="E49" i="11"/>
  <c r="I83" i="11"/>
  <c r="E39" i="11"/>
  <c r="I73" i="11"/>
  <c r="E63" i="11"/>
  <c r="I68" i="11"/>
  <c r="E64" i="11"/>
  <c r="E35" i="11"/>
  <c r="E73" i="11"/>
  <c r="E83" i="11"/>
  <c r="E42" i="11" l="1"/>
  <c r="I69" i="11"/>
  <c r="E43" i="11" s="1"/>
  <c r="E68" i="11"/>
  <c r="E69" i="11" l="1"/>
  <c r="I84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tc={5FDC6E4F-1BA1-41EF-9A7D-7B9122B0ADC2}</author>
  </authors>
  <commentList>
    <comment ref="C11" authorId="0" shapeId="0" xr:uid="{5FDC6E4F-1BA1-41EF-9A7D-7B9122B0ADC2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+ Monte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Rishi Gupta</author>
  </authors>
  <commentList>
    <comment ref="N103" authorId="0" shapeId="0" xr:uid="{7208560F-2335-4552-8092-18C7458588B4}">
      <text>
        <r>
          <rPr>
            <b/>
            <sz val="9"/>
            <color indexed="81"/>
            <rFont val="Tahoma"/>
            <family val="2"/>
          </rPr>
          <t>Source: BHP FY2025 Annual Report. Cash &amp; equivalents US$10,932M at Jun 30, 2025. FA classification. (Note: Total assets $108.8B per Yahoo Finance.)</t>
        </r>
      </text>
    </comment>
    <comment ref="O103" authorId="0" shapeId="0" xr:uid="{8793F668-3C3F-496E-87F2-129F65E9F997}">
      <text>
        <r>
          <rPr>
            <b/>
            <sz val="9"/>
            <color indexed="81"/>
            <rFont val="Tahoma"/>
            <family val="2"/>
          </rPr>
          <t>Source: BHP FY2024 Annual Report. Cash &amp; equivalents US$13,074M at Jun 30, 2024. FA classification.</t>
        </r>
      </text>
    </comment>
    <comment ref="N104" authorId="0" shapeId="0" xr:uid="{C1C69CBE-A429-4BEE-B1DF-00149F434FC5}">
      <text>
        <r>
          <rPr>
            <b/>
            <sz val="9"/>
            <color indexed="81"/>
            <rFont val="Tahoma"/>
            <family val="2"/>
          </rPr>
          <t>Source: BHP FY2025 Annual Report. Trade &amp; other receivables ~US$6,700M. OA classification.</t>
        </r>
      </text>
    </comment>
    <comment ref="O104" authorId="0" shapeId="0" xr:uid="{69BD7CCC-C10A-4FD0-912C-A33B4343383F}">
      <text>
        <r>
          <rPr>
            <b/>
            <sz val="9"/>
            <color indexed="81"/>
            <rFont val="Tahoma"/>
            <family val="2"/>
          </rPr>
          <t>Source: BHP FY2024 Annual Report. Trade &amp; other receivables ~US$5,600M. OA classification.</t>
        </r>
      </text>
    </comment>
    <comment ref="N105" authorId="0" shapeId="0" xr:uid="{172BB6AE-A4B1-4A54-96EB-33F16B4BC913}">
      <text>
        <r>
          <rPr>
            <b/>
            <sz val="9"/>
            <color indexed="81"/>
            <rFont val="Tahoma"/>
            <family val="2"/>
          </rPr>
          <t>Source: BHP FY2025 Annual Report. Inventories ~US$4,400M. Commodity stockpiles + stores. OA classification.</t>
        </r>
      </text>
    </comment>
    <comment ref="O105" authorId="0" shapeId="0" xr:uid="{A3511217-56A9-4346-8DC7-06D3A809C53B}">
      <text>
        <r>
          <rPr>
            <b/>
            <sz val="9"/>
            <color indexed="81"/>
            <rFont val="Tahoma"/>
            <family val="2"/>
          </rPr>
          <t>Source: BHP FY2024 Annual Report. Inventories ~US$4,200M. OA classification.</t>
        </r>
      </text>
    </comment>
    <comment ref="N106" authorId="0" shapeId="0" xr:uid="{B2C53A60-5EA4-4294-BF90-33D484A5BCB1}">
      <text>
        <r>
          <rPr>
            <b/>
            <sz val="9"/>
            <color indexed="81"/>
            <rFont val="Tahoma"/>
            <family val="2"/>
          </rPr>
          <t>Source: BHP FY2025 Annual Report. Other current assets ~US$2,500M. Tax receivable, prepaid, derivatives. OA classification.</t>
        </r>
      </text>
    </comment>
    <comment ref="O106" authorId="0" shapeId="0" xr:uid="{2338B91B-26FA-48B8-986B-EA06C6127779}">
      <text>
        <r>
          <rPr>
            <b/>
            <sz val="9"/>
            <color indexed="81"/>
            <rFont val="Tahoma"/>
            <family val="2"/>
          </rPr>
          <t>Source: BHP FY2024 Annual Report. Other current assets ~US$2,300M. OA classification.</t>
        </r>
      </text>
    </comment>
    <comment ref="N107" authorId="0" shapeId="0" xr:uid="{09DAA7CD-32EA-47A6-AF9B-32E85AEEB1CC}">
      <text>
        <r>
          <rPr>
            <b/>
            <sz val="9"/>
            <color indexed="81"/>
            <rFont val="Tahoma"/>
            <family val="2"/>
          </rPr>
          <t>No material assets held for sale at Jun 2025.</t>
        </r>
      </text>
    </comment>
    <comment ref="O107" authorId="0" shapeId="0" xr:uid="{F80392DA-C510-4643-A4AA-0EC61C541D89}">
      <text>
        <r>
          <rPr>
            <b/>
            <sz val="9"/>
            <color indexed="81"/>
            <rFont val="Tahoma"/>
            <family val="2"/>
          </rPr>
          <t>No material assets held for sale at Jun 2024.</t>
        </r>
      </text>
    </comment>
    <comment ref="N108" authorId="0" shapeId="0" xr:uid="{44C0EC24-2FE3-40F4-AB7C-E05E57E5D30B}">
      <text>
        <r>
          <rPr>
            <b/>
            <sz val="9"/>
            <color indexed="81"/>
            <rFont val="Tahoma"/>
            <family val="2"/>
          </rPr>
          <t>Source: BHP FY2025 Annual Report. Current financial assets ~US$1,300M. Includes ST investments, FX derivatives. FA classification.</t>
        </r>
      </text>
    </comment>
    <comment ref="O108" authorId="0" shapeId="0" xr:uid="{58B91710-1973-44D7-8A77-C49757870F1A}">
      <text>
        <r>
          <rPr>
            <b/>
            <sz val="9"/>
            <color indexed="81"/>
            <rFont val="Tahoma"/>
            <family val="2"/>
          </rPr>
          <t>Source: BHP FY2024 Annual Report. Current financial assets ~US$1,200M. FA classification.</t>
        </r>
      </text>
    </comment>
    <comment ref="N112" authorId="0" shapeId="0" xr:uid="{318EA6EC-0780-4B34-9AE1-AED8462BA7CE}">
      <text>
        <r>
          <rPr>
            <b/>
            <sz val="9"/>
            <color indexed="81"/>
            <rFont val="Tahoma"/>
            <family val="2"/>
          </rPr>
          <t>Source: BHP FY2025 Annual Report. Investments &amp; NC financial assets ~US$3,800M. Equity accounted investments (Antamina, SolGold, Vicuña JV). FA classification for financial investments; some OA for operating JVs. Classified as FA for Penman.</t>
        </r>
      </text>
    </comment>
    <comment ref="O112" authorId="0" shapeId="0" xr:uid="{4C63395B-AD5E-4B3F-8B9E-21DFB029EA56}">
      <text>
        <r>
          <rPr>
            <b/>
            <sz val="9"/>
            <color indexed="81"/>
            <rFont val="Tahoma"/>
            <family val="2"/>
          </rPr>
          <t>Source: BHP FY2024 Annual Report. Investments &amp; NC financial assets ~US$2,300M. Pre-Vicuña acquisition. FA classification.</t>
        </r>
      </text>
    </comment>
    <comment ref="N113" authorId="0" shapeId="0" xr:uid="{5E23447A-4CA4-4C4D-8418-5AEA3C49482A}">
      <text>
        <r>
          <rPr>
            <b/>
            <sz val="9"/>
            <color indexed="81"/>
            <rFont val="Tahoma"/>
            <family val="2"/>
          </rPr>
          <t>Source: BHP FY2025 Annual Report. PP&amp;E net ~US$56,200M. Pilbara iron ore, Escondida copper, BMA coal, Copper SA, Jansen (under construction). OA classification.</t>
        </r>
      </text>
    </comment>
    <comment ref="O113" authorId="0" shapeId="0" xr:uid="{5280A600-B347-4ED4-8727-8F8FEA48EE86}">
      <text>
        <r>
          <rPr>
            <b/>
            <sz val="9"/>
            <color indexed="81"/>
            <rFont val="Tahoma"/>
            <family val="2"/>
          </rPr>
          <t>Source: BHP FY2024 Annual Report. PP&amp;E net ~US$52,300M. OA classification.</t>
        </r>
      </text>
    </comment>
    <comment ref="N114" authorId="0" shapeId="0" xr:uid="{16DA92F5-E34E-4DAF-BDA6-F8ADB630F374}">
      <text>
        <r>
          <rPr>
            <b/>
            <sz val="9"/>
            <color indexed="81"/>
            <rFont val="Tahoma"/>
            <family val="2"/>
          </rPr>
          <t>Source: BHP FY2025 Annual Report. Goodwill + intangibles + ROU assets + deferred tax assets + other NC assets ~US$22,960M. Total NC assets less PP&amp;E and investments. OA classification.</t>
        </r>
      </text>
    </comment>
    <comment ref="O114" authorId="0" shapeId="0" xr:uid="{0C9E7653-62AD-4917-861C-E66815E664D8}">
      <text>
        <r>
          <rPr>
            <b/>
            <sz val="9"/>
            <color indexed="81"/>
            <rFont val="Tahoma"/>
            <family val="2"/>
          </rPr>
          <t>Source: BHP FY2024 Annual Report. Goodwill + intangibles + ROU + deferred tax + other NC ~US$21,388M. OA classification.</t>
        </r>
      </text>
    </comment>
    <comment ref="N120" authorId="0" shapeId="0" xr:uid="{382D54BE-DEE6-4227-A07D-4AA7BE4EC45E}">
      <text>
        <r>
          <rPr>
            <b/>
            <sz val="9"/>
            <color indexed="81"/>
            <rFont val="Tahoma"/>
            <family val="2"/>
          </rPr>
          <t>Source: BHP FY2025 Annual Report. Trade &amp; other payables ~US$5,800M. OL classification.</t>
        </r>
      </text>
    </comment>
    <comment ref="O120" authorId="0" shapeId="0" xr:uid="{027850CA-35E9-4226-9D3B-C3B2D64D5C5E}">
      <text>
        <r>
          <rPr>
            <b/>
            <sz val="9"/>
            <color indexed="81"/>
            <rFont val="Tahoma"/>
            <family val="2"/>
          </rPr>
          <t>Source: BHP FY2024 Annual Report. Trade &amp; other payables ~US$5,400M. OL classification.</t>
        </r>
      </text>
    </comment>
    <comment ref="N121" authorId="0" shapeId="0" xr:uid="{7B2F659C-74C2-4E40-AC37-7BB1B8CA5434}">
      <text>
        <r>
          <rPr>
            <b/>
            <sz val="9"/>
            <color indexed="81"/>
            <rFont val="Tahoma"/>
            <family val="2"/>
          </rPr>
          <t>Source: BHP FY2025 Annual Report. Provisions &amp; accrued liabilities (current) ~US$5,200M. Includes rehabilitation provisions, employee benefits. OL classification.</t>
        </r>
      </text>
    </comment>
    <comment ref="O121" authorId="0" shapeId="0" xr:uid="{60444ABE-6F81-4725-BBD8-ADA79A206051}">
      <text>
        <r>
          <rPr>
            <b/>
            <sz val="9"/>
            <color indexed="81"/>
            <rFont val="Tahoma"/>
            <family val="2"/>
          </rPr>
          <t>Source: BHP FY2024 Annual Report. Provisions &amp; accrued liabilities ~US$4,800M. OL classification.</t>
        </r>
      </text>
    </comment>
    <comment ref="N122" authorId="0" shapeId="0" xr:uid="{F442E99D-7607-4976-9E77-5F538C3D80ED}">
      <text>
        <r>
          <rPr>
            <b/>
            <sz val="9"/>
            <color indexed="81"/>
            <rFont val="Tahoma"/>
            <family val="2"/>
          </rPr>
          <t>Source: BHP FY2025 Annual Report. Tax payable + deferred revenue (current) ~US$2,600M. OL classification.</t>
        </r>
      </text>
    </comment>
    <comment ref="O122" authorId="0" shapeId="0" xr:uid="{BE6CD89E-5871-44DF-BABF-6C59D425333C}">
      <text>
        <r>
          <rPr>
            <b/>
            <sz val="9"/>
            <color indexed="81"/>
            <rFont val="Tahoma"/>
            <family val="2"/>
          </rPr>
          <t>Source: BHP FY2024 Annual Report. Tax payable + deferred revenue ~US$2,200M. OL classification.</t>
        </r>
      </text>
    </comment>
    <comment ref="N123" authorId="0" shapeId="0" xr:uid="{640D25C8-89B4-4C23-865A-EE124F6D36A2}">
      <text>
        <r>
          <rPr>
            <b/>
            <sz val="9"/>
            <color indexed="81"/>
            <rFont val="Tahoma"/>
            <family val="2"/>
          </rPr>
          <t>Source: BHP FY2025 Annual Report. Current interest-bearing liabilities ~US$2,300M. Includes current portion of borrowings + finance leases. FO classification.</t>
        </r>
      </text>
    </comment>
    <comment ref="O123" authorId="0" shapeId="0" xr:uid="{90817F27-8055-4937-A044-41CC23224257}">
      <text>
        <r>
          <rPr>
            <b/>
            <sz val="9"/>
            <color indexed="81"/>
            <rFont val="Tahoma"/>
            <family val="2"/>
          </rPr>
          <t>Source: BHP FY2024 Annual Report. Current interest-bearing liabilities ~US$3,800M. FO classification.</t>
        </r>
      </text>
    </comment>
    <comment ref="N124" authorId="0" shapeId="0" xr:uid="{9520AEE6-E238-4901-ABDC-12B2EF2327F2}">
      <text>
        <r>
          <rPr>
            <b/>
            <sz val="9"/>
            <color indexed="81"/>
            <rFont val="Tahoma"/>
            <family val="2"/>
          </rPr>
          <t>Source: BHP FY2025 Annual Report. Other current financial liabilities ~US$500M. Derivatives, other. FO classification.</t>
        </r>
      </text>
    </comment>
    <comment ref="O124" authorId="0" shapeId="0" xr:uid="{432686B1-8F6E-4CB8-A537-52F1CFBEE9AE}">
      <text>
        <r>
          <rPr>
            <b/>
            <sz val="9"/>
            <color indexed="81"/>
            <rFont val="Tahoma"/>
            <family val="2"/>
          </rPr>
          <t>Source: BHP FY2024 Annual Report. Other current financial liabilities ~US$132M. FO classification.</t>
        </r>
      </text>
    </comment>
    <comment ref="N128" authorId="0" shapeId="0" xr:uid="{45C2D3DE-ADC5-47F1-9AB3-140E44B9383E}">
      <text>
        <r>
          <rPr>
            <b/>
            <sz val="9"/>
            <color indexed="81"/>
            <rFont val="Tahoma"/>
            <family val="2"/>
          </rPr>
          <t>Source: BHP FY2025 Annual Report. Interest-bearing liabilities (LT) ~US$20,200M. Includes bonds, notes, finance leases (non-current). FO classification.</t>
        </r>
      </text>
    </comment>
    <comment ref="O128" authorId="0" shapeId="0" xr:uid="{E4C7CDF1-F222-4438-B973-7112AF27969A}">
      <text>
        <r>
          <rPr>
            <b/>
            <sz val="9"/>
            <color indexed="81"/>
            <rFont val="Tahoma"/>
            <family val="2"/>
          </rPr>
          <t>Source: BHP FY2024 Annual Report. Interest-bearing liabilities (LT) ~US$16,800M. FO classification.</t>
        </r>
      </text>
    </comment>
    <comment ref="N129" authorId="0" shapeId="0" xr:uid="{24836851-8C9C-4B73-8BEC-A3F13964341A}">
      <text>
        <r>
          <rPr>
            <b/>
            <sz val="9"/>
            <color indexed="81"/>
            <rFont val="Tahoma"/>
            <family val="2"/>
          </rPr>
          <t>Source: BHP FY2025 Annual Report. Other NC liabilities ~US$19,972M. Includes provisions (rehabilitation, Samarco), deferred tax, operating lease liabilities, employee benefits. OL classification.</t>
        </r>
      </text>
    </comment>
    <comment ref="O129" authorId="0" shapeId="0" xr:uid="{AFB33E2D-C2ED-4780-B200-640FAF60B75C}">
      <text>
        <r>
          <rPr>
            <b/>
            <sz val="9"/>
            <color indexed="81"/>
            <rFont val="Tahoma"/>
            <family val="2"/>
          </rPr>
          <t>Source: BHP FY2024 Annual Report. Other NC liabilities ~US$19,910M. Provisions, deferred tax, operating leases, employee benefits. OL classification.</t>
        </r>
      </text>
    </comment>
    <comment ref="N139" authorId="0" shapeId="0" xr:uid="{B63F055C-B102-453B-9950-1B39CEB9DFFE}">
      <text>
        <r>
          <rPr>
            <b/>
            <sz val="9"/>
            <color indexed="81"/>
            <rFont val="Tahoma"/>
            <family val="2"/>
          </rPr>
          <t>BHP FA = Cash ($10,932M) + NC investments ($3,800M) = $14,732M. Includes cash, ST investments, equity accounted investments (Antamina, Vicuña JV).</t>
        </r>
      </text>
    </comment>
    <comment ref="O139" authorId="0" shapeId="0" xr:uid="{F53B5AF0-8142-4888-B640-F079F0A4C0F7}">
      <text>
        <r>
          <rPr>
            <b/>
            <sz val="9"/>
            <color indexed="81"/>
            <rFont val="Tahoma"/>
            <family val="2"/>
          </rPr>
          <t>BHP FY2024 FA = Cash ($13,074M) + NC investments ($2,300M) = $15,374M. Pre-Vicuña acquisition.</t>
        </r>
      </text>
    </comment>
  </commentList>
</comments>
</file>

<file path=xl/sharedStrings.xml><?xml version="1.0" encoding="utf-8"?>
<sst xmlns="http://schemas.openxmlformats.org/spreadsheetml/2006/main" count="795" uniqueCount="584">
  <si>
    <t>Discount Rate</t>
  </si>
  <si>
    <t>Terminal Growth Rate</t>
  </si>
  <si>
    <t>Tax Rate</t>
  </si>
  <si>
    <t>Gross Margin</t>
  </si>
  <si>
    <t>Shares Outstanding (M)</t>
  </si>
  <si>
    <t>Base Year</t>
  </si>
  <si>
    <t>Forecast End Year</t>
  </si>
  <si>
    <t>Risk-Free Rate</t>
  </si>
  <si>
    <t>Equity Risk Premium</t>
  </si>
  <si>
    <t>Beta</t>
  </si>
  <si>
    <t>Cost of Debt (pre-tax)</t>
  </si>
  <si>
    <t>TGR</t>
  </si>
  <si>
    <t>Company Name</t>
  </si>
  <si>
    <t>Current Price ($)</t>
  </si>
  <si>
    <t>Cash &amp; Equivalents ($M)</t>
  </si>
  <si>
    <t>Total Debt ($M)</t>
  </si>
  <si>
    <t>Discount Rate (flat)</t>
  </si>
  <si>
    <t>Annual Dilution %</t>
  </si>
  <si>
    <t>Buyback Yield %</t>
  </si>
  <si>
    <t>Use Working Capital? (1/0)</t>
  </si>
  <si>
    <t>NWC % of Revenue</t>
  </si>
  <si>
    <t>Segment Count</t>
  </si>
  <si>
    <t>Use Segment-Level GM? (1/0)</t>
  </si>
  <si>
    <t>MC Iterations</t>
  </si>
  <si>
    <t>Variable</t>
  </si>
  <si>
    <t>CapEx %</t>
  </si>
  <si>
    <t>Custom 1</t>
  </si>
  <si>
    <t>Custom 2</t>
  </si>
  <si>
    <t>Dashboard --&gt;</t>
  </si>
  <si>
    <t>Qualitative --&gt;</t>
  </si>
  <si>
    <t>Assumptions --&gt;</t>
  </si>
  <si>
    <t>Gross Margin Adj</t>
  </si>
  <si>
    <t>CapEx Adj</t>
  </si>
  <si>
    <t>Run All</t>
  </si>
  <si>
    <t>Financial</t>
  </si>
  <si>
    <t>Valuation</t>
  </si>
  <si>
    <t>Scenario</t>
  </si>
  <si>
    <t>Clear</t>
  </si>
  <si>
    <t>Export</t>
  </si>
  <si>
    <t>Segment 2</t>
  </si>
  <si>
    <t>Segment 3</t>
  </si>
  <si>
    <t>MC Sim</t>
  </si>
  <si>
    <t>Run Forecast</t>
  </si>
  <si>
    <t xml:space="preserve"> === DASHBOARD ===</t>
  </si>
  <si>
    <t>Founded</t>
  </si>
  <si>
    <t>CEO</t>
  </si>
  <si>
    <t>CFO</t>
  </si>
  <si>
    <t>CBO</t>
  </si>
  <si>
    <t>COGS</t>
  </si>
  <si>
    <t>Gross Profit</t>
  </si>
  <si>
    <t>R&amp;D</t>
  </si>
  <si>
    <t>S&amp;M</t>
  </si>
  <si>
    <t>G&amp;A</t>
  </si>
  <si>
    <t>Total OpEx</t>
  </si>
  <si>
    <t>Operating Income</t>
  </si>
  <si>
    <t>Other Income</t>
  </si>
  <si>
    <t>Pre-Tax Income</t>
  </si>
  <si>
    <t>Net Income</t>
  </si>
  <si>
    <t>SBC</t>
  </si>
  <si>
    <t>Probability</t>
  </si>
  <si>
    <t>Bull</t>
  </si>
  <si>
    <t>Base</t>
  </si>
  <si>
    <t>Bear</t>
  </si>
  <si>
    <t>Revenue Adj</t>
  </si>
  <si>
    <t>Tax Rate Adj</t>
  </si>
  <si>
    <t>Discount Rate Adj</t>
  </si>
  <si>
    <t>Terminal Growth Adj</t>
  </si>
  <si>
    <t>Custom Input 1</t>
  </si>
  <si>
    <t>Custom Input 2</t>
  </si>
  <si>
    <t>Distribution</t>
  </si>
  <si>
    <t>Param 1</t>
  </si>
  <si>
    <t>Param 2</t>
  </si>
  <si>
    <t>Param 3</t>
  </si>
  <si>
    <t>D&amp;A %</t>
  </si>
  <si>
    <t>SBC %</t>
  </si>
  <si>
    <t>OpEx %</t>
  </si>
  <si>
    <t>Segment 4</t>
  </si>
  <si>
    <t>MODEL ASSUMPTIONS</t>
  </si>
  <si>
    <t>Company Identity</t>
  </si>
  <si>
    <t>Time Horizon</t>
  </si>
  <si>
    <t>Valuation Parameters</t>
  </si>
  <si>
    <t>Margins &amp; Expenses</t>
  </si>
  <si>
    <t>Share Dynamics</t>
  </si>
  <si>
    <t>Working Capital</t>
  </si>
  <si>
    <t>Base Year Financials ($M)</t>
  </si>
  <si>
    <t>Segment Configuration</t>
  </si>
  <si>
    <t>Segment 1</t>
  </si>
  <si>
    <t>Perpetuity Years</t>
  </si>
  <si>
    <t>Use WACC? (1=Yes)</t>
  </si>
  <si>
    <t>ROIC</t>
  </si>
  <si>
    <t>R&amp;D %</t>
  </si>
  <si>
    <t>S&amp;M %</t>
  </si>
  <si>
    <t>G&amp;A %</t>
  </si>
  <si>
    <t>Revenue</t>
  </si>
  <si>
    <t>D&amp;A</t>
  </si>
  <si>
    <t>CapEx</t>
  </si>
  <si>
    <t>Current Assets</t>
  </si>
  <si>
    <t>Current Liabilities</t>
  </si>
  <si>
    <t>Name</t>
  </si>
  <si>
    <t>Base Rev ($M)</t>
  </si>
  <si>
    <t>Seg GM</t>
  </si>
  <si>
    <t>Growth</t>
  </si>
  <si>
    <t>Y1</t>
  </si>
  <si>
    <t>Y2</t>
  </si>
  <si>
    <t>Y3</t>
  </si>
  <si>
    <t>Y4</t>
  </si>
  <si>
    <t>Y5</t>
  </si>
  <si>
    <t>Y6</t>
  </si>
  <si>
    <t>Y7</t>
  </si>
  <si>
    <t>Y8</t>
  </si>
  <si>
    <t>Y9</t>
  </si>
  <si>
    <t>Y10</t>
  </si>
  <si>
    <t>Y11</t>
  </si>
  <si>
    <t>Max (ROIC Cap)</t>
  </si>
  <si>
    <t>Line Item</t>
  </si>
  <si>
    <t>Shares Outstanding</t>
  </si>
  <si>
    <t>IVPS</t>
  </si>
  <si>
    <t>Current Price</t>
  </si>
  <si>
    <t>About</t>
  </si>
  <si>
    <t>Strengths</t>
  </si>
  <si>
    <t>Weaknesses</t>
  </si>
  <si>
    <t>Opportunities</t>
  </si>
  <si>
    <t>Threats</t>
  </si>
  <si>
    <t>Valuable</t>
  </si>
  <si>
    <t>Imitable</t>
  </si>
  <si>
    <t>Rare</t>
  </si>
  <si>
    <t>Substitutable</t>
  </si>
  <si>
    <t>Bear Case</t>
  </si>
  <si>
    <t>Bull Case</t>
  </si>
  <si>
    <t>PERT</t>
  </si>
  <si>
    <t>#</t>
  </si>
  <si>
    <t>Formula Name</t>
  </si>
  <si>
    <t>Description</t>
  </si>
  <si>
    <t>FREE CASH FLOW</t>
  </si>
  <si>
    <t>ΔNOA</t>
  </si>
  <si>
    <t>FIRST LEVEL — LEVERAGE DECOMPOSITION</t>
  </si>
  <si>
    <t>RNOA</t>
  </si>
  <si>
    <t>FLEV</t>
  </si>
  <si>
    <t>NBC</t>
  </si>
  <si>
    <t>SPREAD</t>
  </si>
  <si>
    <t>RNOA − NBC</t>
  </si>
  <si>
    <t>ROCE (direct)</t>
  </si>
  <si>
    <t>RNOA (OL lever.)</t>
  </si>
  <si>
    <t>OLLEV</t>
  </si>
  <si>
    <t>ROOA</t>
  </si>
  <si>
    <t>OLSPREAD</t>
  </si>
  <si>
    <t>ROOA − ST Borrowing Rate (AT)</t>
  </si>
  <si>
    <t>ATO</t>
  </si>
  <si>
    <t>Sales PM</t>
  </si>
  <si>
    <t>Days Receivable</t>
  </si>
  <si>
    <t>365 / (Sales / Avg Receivables)</t>
  </si>
  <si>
    <t>Inventory Turnover</t>
  </si>
  <si>
    <t>Payable Turnover</t>
  </si>
  <si>
    <t>ReOI</t>
  </si>
  <si>
    <t>ReOI Growth</t>
  </si>
  <si>
    <t>VALUATION — NO GROWTH</t>
  </si>
  <si>
    <t>V₀(NOA)</t>
  </si>
  <si>
    <t>V₀(E)</t>
  </si>
  <si>
    <t>VALUATION — WITH GROWTH</t>
  </si>
  <si>
    <t>OI₁ (growth)</t>
  </si>
  <si>
    <t>ReOI₁ (growth)</t>
  </si>
  <si>
    <t>V₀(E) via FCF</t>
  </si>
  <si>
    <t>ER (Enterprise)</t>
  </si>
  <si>
    <t>Implied return from market price</t>
  </si>
  <si>
    <t>NOA</t>
  </si>
  <si>
    <t>COMPUTED VALUES — Linked to Model</t>
  </si>
  <si>
    <t>BASE YEAR INPUTS (from Assumptions)</t>
  </si>
  <si>
    <t>Item</t>
  </si>
  <si>
    <t>Value ($M)</t>
  </si>
  <si>
    <t>Source Cell</t>
  </si>
  <si>
    <t>Assumptions!F16</t>
  </si>
  <si>
    <t>Assumptions!F17</t>
  </si>
  <si>
    <t>Assumptions!F18</t>
  </si>
  <si>
    <t>Assumptions!F19</t>
  </si>
  <si>
    <t>KEY PARAMETERS (from Assumptions)</t>
  </si>
  <si>
    <t>Parameter</t>
  </si>
  <si>
    <t>Value</t>
  </si>
  <si>
    <t>Discount Rate (ρ_F − 1)</t>
  </si>
  <si>
    <t>Assumptions!C16</t>
  </si>
  <si>
    <t>Terminal Growth Rate (g)</t>
  </si>
  <si>
    <t>Assumptions!C17</t>
  </si>
  <si>
    <t>Gross Margin %</t>
  </si>
  <si>
    <t>Assumptions!C31</t>
  </si>
  <si>
    <t>Assumptions!C23</t>
  </si>
  <si>
    <t>Assumptions!C20</t>
  </si>
  <si>
    <t>ERP</t>
  </si>
  <si>
    <t>Assumptions!C21</t>
  </si>
  <si>
    <t>Assumptions!C22</t>
  </si>
  <si>
    <t>Cash &amp; Equivalents</t>
  </si>
  <si>
    <t>Assumptions!C7</t>
  </si>
  <si>
    <t>Total Debt</t>
  </si>
  <si>
    <t>Assumptions!C8</t>
  </si>
  <si>
    <t>Assumptions!C6</t>
  </si>
  <si>
    <t>Assumptions!C5</t>
  </si>
  <si>
    <t>REFORMULATED VALUES (Computed)</t>
  </si>
  <si>
    <t>Formula</t>
  </si>
  <si>
    <t>ρ_F (gross required return)</t>
  </si>
  <si>
    <t>ρ_D (gross cost of debt)</t>
  </si>
  <si>
    <t>NFO (Net Financial Obligations)</t>
  </si>
  <si>
    <t>OI After Tax</t>
  </si>
  <si>
    <t>PM (Profit Margin, pre-tax)</t>
  </si>
  <si>
    <t>OI / Revenue</t>
  </si>
  <si>
    <t>PM (after tax)</t>
  </si>
  <si>
    <t>OI(AT) / Revenue</t>
  </si>
  <si>
    <t>Gross Margin (check)</t>
  </si>
  <si>
    <t>GP / Revenue</t>
  </si>
  <si>
    <t>NFE (pre-tax, approx)</t>
  </si>
  <si>
    <t>NFE (after tax, approx)</t>
  </si>
  <si>
    <t>FCF Proxy (NI − CapEx + D&amp;A)</t>
  </si>
  <si>
    <t>Net Income − CapEx + D&amp;A</t>
  </si>
  <si>
    <t>NWC</t>
  </si>
  <si>
    <t>Current Assets − Current Liabilities</t>
  </si>
  <si>
    <t>Market Cap</t>
  </si>
  <si>
    <t>Enterprise Value (approx)</t>
  </si>
  <si>
    <t>Sales PM Decomposition</t>
  </si>
  <si>
    <t>Equity Value (Market)</t>
  </si>
  <si>
    <t>Shares × Current Price</t>
  </si>
  <si>
    <t>B/P (Book-to-Price)</t>
  </si>
  <si>
    <t>Requires Total Equity</t>
  </si>
  <si>
    <t>IVPS (No-Growth)</t>
  </si>
  <si>
    <t>1 + Discount Rate (I24)</t>
  </si>
  <si>
    <t>1 + Cost of Debt(AT) = 1 + I33×(1−I26)</t>
  </si>
  <si>
    <t>Debt (I39) − Cash (I38)</t>
  </si>
  <si>
    <t>OI (I12) × (1 − Tax Rate I26)</t>
  </si>
  <si>
    <t>Cost of Debt (I33) × Debt (I39)</t>
  </si>
  <si>
    <t>Cost of Debt (I33) × (1−Tax I26) × Debt (I39)</t>
  </si>
  <si>
    <t>Shares (I40) × Price (I41)</t>
  </si>
  <si>
    <t>Mkt Cap + Debt (I39) − Cash (I38)</t>
  </si>
  <si>
    <t>GM% − R&amp;D% − G&amp;A% − Tax% (rough)</t>
  </si>
  <si>
    <t>Cash &amp; cash equivalents</t>
  </si>
  <si>
    <t>Inventories</t>
  </si>
  <si>
    <t>Property, plant &amp; equipment, net</t>
  </si>
  <si>
    <t>TOTAL ASSETS</t>
  </si>
  <si>
    <t>TOTAL LIABILITIES</t>
  </si>
  <si>
    <t>Check: L + E = A</t>
  </si>
  <si>
    <t>PENMAN REFORMULATION</t>
  </si>
  <si>
    <t>Financial Assets (FA)</t>
  </si>
  <si>
    <t>Financial Obligations (FO)</t>
  </si>
  <si>
    <t>Net Financial Obligations (NFO)</t>
  </si>
  <si>
    <t>Operating Assets (OA)</t>
  </si>
  <si>
    <t>Operating Liabilities (OL)</t>
  </si>
  <si>
    <t>Net Operating Assets (NOA)</t>
  </si>
  <si>
    <t>Check: NOA = CSE + NFO</t>
  </si>
  <si>
    <t>Should be 0</t>
  </si>
  <si>
    <t>REFORMULATED BALANCE SHEET</t>
  </si>
  <si>
    <t>Notes</t>
  </si>
  <si>
    <t>CURRENT ASSETS</t>
  </si>
  <si>
    <t>Total Current Assets</t>
  </si>
  <si>
    <t>NON-CURRENT ASSETS</t>
  </si>
  <si>
    <t>Total Non-Current Assets</t>
  </si>
  <si>
    <t>CURRENT LIABILITIES</t>
  </si>
  <si>
    <t>Total Current Liabilities</t>
  </si>
  <si>
    <t>NON-CURRENT LIABILITIES</t>
  </si>
  <si>
    <t>Total Non-Current Liabilities</t>
  </si>
  <si>
    <t>TOTAL SHAREHOLDERS' EQUITY (CSE)</t>
  </si>
  <si>
    <t>FO - FA</t>
  </si>
  <si>
    <t>Total Assets - FA</t>
  </si>
  <si>
    <t>Total Liabilities - FO</t>
  </si>
  <si>
    <t>OA - OL</t>
  </si>
  <si>
    <t>Average NOA</t>
  </si>
  <si>
    <t>(FY25 + FY24) / 2</t>
  </si>
  <si>
    <t>Average CSE</t>
  </si>
  <si>
    <t>Average NFO</t>
  </si>
  <si>
    <t>OI(AT) / Avg NOA</t>
  </si>
  <si>
    <t>Sales / Avg NOA</t>
  </si>
  <si>
    <t>Avg NFO / Avg CSE</t>
  </si>
  <si>
    <t>NFE(AT) / Avg NFO</t>
  </si>
  <si>
    <t>NI / Avg CSE</t>
  </si>
  <si>
    <t>OL / NOA (FY25)</t>
  </si>
  <si>
    <t>V(E) / Shares</t>
  </si>
  <si>
    <t>Output</t>
  </si>
  <si>
    <t>ROOA + (OLLEV × OLSPREAD)</t>
  </si>
  <si>
    <t>INCOME STATEMENT</t>
  </si>
  <si>
    <t>Total revenue (base year)</t>
  </si>
  <si>
    <t>Cost of goods sold</t>
  </si>
  <si>
    <t>Revenue − COGS</t>
  </si>
  <si>
    <t>Gross Profit / Revenue</t>
  </si>
  <si>
    <t>Research &amp; development expense</t>
  </si>
  <si>
    <t>General &amp; administrative expense</t>
  </si>
  <si>
    <t>Total operating expenses</t>
  </si>
  <si>
    <t>Revenue − COGS − OpEx</t>
  </si>
  <si>
    <t>OI + Other Income</t>
  </si>
  <si>
    <t>After-tax earnings</t>
  </si>
  <si>
    <t>Depreciation &amp; amortisation</t>
  </si>
  <si>
    <t>Stock-based compensation</t>
  </si>
  <si>
    <t>Capital expenditure</t>
  </si>
  <si>
    <t>REFORMULATED BALANCE SHEET (FY2025)</t>
  </si>
  <si>
    <t>Total Assets</t>
  </si>
  <si>
    <t>Total assets</t>
  </si>
  <si>
    <t>Total Liabilities</t>
  </si>
  <si>
    <t>Total liabilities</t>
  </si>
  <si>
    <t>CSE</t>
  </si>
  <si>
    <t>Total shareholders' equity</t>
  </si>
  <si>
    <t>Cash + ST/LT marketable securities</t>
  </si>
  <si>
    <t>Commercial paper + current/LT debt</t>
  </si>
  <si>
    <t>NFO</t>
  </si>
  <si>
    <t>Net financial obligations (FO − FA)</t>
  </si>
  <si>
    <t>Total assets − FA</t>
  </si>
  <si>
    <t>Total liabilities − FO</t>
  </si>
  <si>
    <t>Net operating assets (OA − OL)</t>
  </si>
  <si>
    <t>OI × (1 − Tax Rate)</t>
  </si>
  <si>
    <t>NOA(FY25) − NOA(FY24)</t>
  </si>
  <si>
    <t>FCF (OI − ΔNOA)</t>
  </si>
  <si>
    <t>Operating income minus reinvestment</t>
  </si>
  <si>
    <t>Simplified FCF from cash flow items</t>
  </si>
  <si>
    <t>NFE (pre-tax)</t>
  </si>
  <si>
    <t>Cost of Debt × Debt</t>
  </si>
  <si>
    <t>NFE (after tax)</t>
  </si>
  <si>
    <t>Cost of Debt × (1 − Tax) × Debt</t>
  </si>
  <si>
    <t>ROCE (leverage eq.)</t>
  </si>
  <si>
    <t>RNOA + [FLEV × SPREAD]</t>
  </si>
  <si>
    <t>Net Income / Avg CSE</t>
  </si>
  <si>
    <t>Operating liabilities / NOA (FY25)</t>
  </si>
  <si>
    <t>Implicit Interest (AT)</t>
  </si>
  <si>
    <t>ST Borr. Rate(AT) × Avg OL</t>
  </si>
  <si>
    <t>(OI_AT + Impl. Int.) / Avg OA</t>
  </si>
  <si>
    <t>SECOND LEVEL — PROFITABILITY DECOMPOSITION</t>
  </si>
  <si>
    <t>PM (pre-tax)</t>
  </si>
  <si>
    <t>Revenue / Avg NOA</t>
  </si>
  <si>
    <t>RNOA (DuPont check)</t>
  </si>
  <si>
    <t>PM(AT) × ATO</t>
  </si>
  <si>
    <t>TURNOVER RATIOS</t>
  </si>
  <si>
    <t>COGS / Avg Inventories</t>
  </si>
  <si>
    <t>COGS / Avg Payables</t>
  </si>
  <si>
    <t>RESIDUAL INCOME &amp; GROWTH</t>
  </si>
  <si>
    <t>OI(AT) − r_F × NOA(FY24)</t>
  </si>
  <si>
    <t>NOA(FY25) / NOA(FY24)</t>
  </si>
  <si>
    <t>RNOA × NOA₀</t>
  </si>
  <si>
    <t>[RNOA − (ρ_F − 1)] × NOA₀</t>
  </si>
  <si>
    <t>g (NOA growth)</t>
  </si>
  <si>
    <t>NOA₀ / NOA(−1) as growth rate</t>
  </si>
  <si>
    <t>OI(AT) / (ρ_F − 1)</t>
  </si>
  <si>
    <t>V₀(NOA) − NFO</t>
  </si>
  <si>
    <t>V₀(E) / Shares</t>
  </si>
  <si>
    <t>NOA + ReOI / (r − g)</t>
  </si>
  <si>
    <t>IVPS (With Growth)</t>
  </si>
  <si>
    <t>VALUATION — FCF</t>
  </si>
  <si>
    <t>FCF / (r − g) − NFO</t>
  </si>
  <si>
    <t>IVPS (FCF)</t>
  </si>
  <si>
    <t>MARKET COMPARISON</t>
  </si>
  <si>
    <t>Market price per share</t>
  </si>
  <si>
    <t>Shares × Price</t>
  </si>
  <si>
    <t>Enterprise Value</t>
  </si>
  <si>
    <t>Mkt Cap + Debt − Cash</t>
  </si>
  <si>
    <t>Upside (No-Growth)</t>
  </si>
  <si>
    <t>IVPS / Price − 1</t>
  </si>
  <si>
    <t>Upside (FCF)</t>
  </si>
  <si>
    <t>KEY RATIOS &amp; VALUATIONS (from Reformulated B/S)</t>
  </si>
  <si>
    <t>Ratio / Item</t>
  </si>
  <si>
    <t>RNOA + FLEV × SPREAD</t>
  </si>
  <si>
    <t>RNOA / ATO (cross-check)</t>
  </si>
  <si>
    <t>OI(AT) − ΔNOA</t>
  </si>
  <si>
    <t>V(NOA) − NFO</t>
  </si>
  <si>
    <t>V₀(E) FCF / Shares</t>
  </si>
  <si>
    <t>(NOA/EV)×RNOA + (1−NOA/EV)×g</t>
  </si>
  <si>
    <t>Upside/Downside</t>
  </si>
  <si>
    <t>FCF / (r−g) − NFO</t>
  </si>
  <si>
    <t xml:space="preserve">FORMULA REFERENCE </t>
  </si>
  <si>
    <t>Qualitative Analysis</t>
  </si>
  <si>
    <t>Use YoY GM? (1/0)</t>
  </si>
  <si>
    <t>Seg 1 Growth</t>
  </si>
  <si>
    <t>Seg 2 Growth</t>
  </si>
  <si>
    <t>Seg 3 Growth</t>
  </si>
  <si>
    <t>Seg 4 Growth</t>
  </si>
  <si>
    <t>DCF &amp; Capital Structure</t>
  </si>
  <si>
    <t>DCF Basis (1=Cash, 2=UFCF)</t>
  </si>
  <si>
    <t>Exit Multiple (EV/UFCF)</t>
  </si>
  <si>
    <t>Use Target Cap Struct? (1/0)</t>
  </si>
  <si>
    <t>Target Debt/Equity</t>
  </si>
  <si>
    <t>Debt Amort % p.a.</t>
  </si>
  <si>
    <t>Detailed Working Capital</t>
  </si>
  <si>
    <t>Use Detailed NWC? (1/0)</t>
  </si>
  <si>
    <t>DSO (Days Sales Outstanding)</t>
  </si>
  <si>
    <t>DIO (Days Inventory Outstanding)</t>
  </si>
  <si>
    <t>DPO (Days Payable Outstanding)</t>
  </si>
  <si>
    <t>Base Receivables ($M)</t>
  </si>
  <si>
    <t>Base Inventory ($M)</t>
  </si>
  <si>
    <t>Base Payables ($M)</t>
  </si>
  <si>
    <t>Decay Rate</t>
  </si>
  <si>
    <t>MC Correlations &amp; Dynamics</t>
  </si>
  <si>
    <t>Margin↔Growth Corr</t>
  </si>
  <si>
    <t>Growth↔DR Corr</t>
  </si>
  <si>
    <t>AR(1) Autocorrelation</t>
  </si>
  <si>
    <t>Mean-Reversion Speed</t>
  </si>
  <si>
    <t>TV Method (1=Perp, 2=Gordon, 3=Exit)</t>
  </si>
  <si>
    <t>Asset-Heavy Mode</t>
  </si>
  <si>
    <t>Toggle</t>
  </si>
  <si>
    <t>UseAssetHeavy (1=On, 0=Off)</t>
  </si>
  <si>
    <t>Fixed + Variable Cost Structure</t>
  </si>
  <si>
    <t>Fixed Cost Inflation</t>
  </si>
  <si>
    <t>Fixed COGS ($M)</t>
  </si>
  <si>
    <t>Variable COGS (% of Rev)</t>
  </si>
  <si>
    <t>Fixed R&amp;D ($M)</t>
  </si>
  <si>
    <t>Variable R&amp;D (% of Rev)</t>
  </si>
  <si>
    <t>Fixed S&amp;M ($M)</t>
  </si>
  <si>
    <t>Variable S&amp;M (% of Rev)</t>
  </si>
  <si>
    <t>Fixed G&amp;A ($M)</t>
  </si>
  <si>
    <t>Variable G&amp;A (% of Rev)</t>
  </si>
  <si>
    <t>PP&amp;E Schedule</t>
  </si>
  <si>
    <t>Base PP&amp;E ($M)</t>
  </si>
  <si>
    <t>PP&amp;E Useful Life (Years)</t>
  </si>
  <si>
    <t>Maint CapEx (% of Net PP&amp;E)</t>
  </si>
  <si>
    <t>Growth CapEx Factor ($/$ Rev)</t>
  </si>
  <si>
    <t>Other current financial liabilities</t>
  </si>
  <si>
    <t>FA = Cash + Current financial assets + NC investments</t>
  </si>
  <si>
    <t>FO = Current borrowings + Other current fin liabilities + LT borrowings</t>
  </si>
  <si>
    <t>FO − FA (alternative sign)</t>
  </si>
  <si>
    <t>Should be 0 (alt NFO calc)</t>
  </si>
  <si>
    <t>Sandisk Corporation</t>
  </si>
  <si>
    <t>Trade receivables</t>
  </si>
  <si>
    <t>Other current assets (prepaid, contract assets)</t>
  </si>
  <si>
    <t>Assets held for distribution / sale</t>
  </si>
  <si>
    <t>Short-term investments &amp; financial assets</t>
  </si>
  <si>
    <t>Equity method investments &amp; NC financial assets</t>
  </si>
  <si>
    <t>Goodwill, intangibles &amp; other NC assets</t>
  </si>
  <si>
    <t>Trade payables &amp; accrued liabilities</t>
  </si>
  <si>
    <t>Deferred revenue &amp; customer advances</t>
  </si>
  <si>
    <t>Income tax payable &amp; other current</t>
  </si>
  <si>
    <t>Current portion of debt &amp; notes payable</t>
  </si>
  <si>
    <t>Long-term debt (term loan, notes)</t>
  </si>
  <si>
    <t>Other NC liabilities (deferred tax, lease, pension)</t>
  </si>
  <si>
    <t>Sandisk Corporation - Financial Model (Cash Proxy DCF)</t>
  </si>
  <si>
    <t>Revenue Breakdown</t>
  </si>
  <si>
    <t xml:space="preserve">  NAND Flash</t>
  </si>
  <si>
    <t>Total Revenue</t>
  </si>
  <si>
    <t xml:space="preserve">  Revenue Growth %</t>
  </si>
  <si>
    <t>Income Statement</t>
  </si>
  <si>
    <t xml:space="preserve">  Gross Margin %</t>
  </si>
  <si>
    <t>Interest Income</t>
  </si>
  <si>
    <t>Interest Expense</t>
  </si>
  <si>
    <t>Tax</t>
  </si>
  <si>
    <t>EPS</t>
  </si>
  <si>
    <t>NOL Carryforward</t>
  </si>
  <si>
    <t>Cash Flow Proxy (NI - CapEx + D&amp;A)</t>
  </si>
  <si>
    <t>(-) CapEx</t>
  </si>
  <si>
    <t>(+) D&amp;A</t>
  </si>
  <si>
    <t>Cash Proxy</t>
  </si>
  <si>
    <t>UFCF (Reference - Not Used in DCF)</t>
  </si>
  <si>
    <t>UFCF</t>
  </si>
  <si>
    <t>Receivables</t>
  </si>
  <si>
    <t>Inventory</t>
  </si>
  <si>
    <t>Payables</t>
  </si>
  <si>
    <t>Net Working Capital</t>
  </si>
  <si>
    <t>Change in NWC</t>
  </si>
  <si>
    <t>Net PP&amp;E</t>
  </si>
  <si>
    <t>D&amp;A (Asset-Based)</t>
  </si>
  <si>
    <t>Maintenance CapEx</t>
  </si>
  <si>
    <t>Growth CapEx</t>
  </si>
  <si>
    <t>Total CapEx</t>
  </si>
  <si>
    <t>Additional Items</t>
  </si>
  <si>
    <t>Debt Balance</t>
  </si>
  <si>
    <t>Net Cash</t>
  </si>
  <si>
    <t>Sandisk Corporation - DCF Valuation (Cash Proxy DCF)</t>
  </si>
  <si>
    <t>Cash Flow Streams ($M)</t>
  </si>
  <si>
    <t>Year</t>
  </si>
  <si>
    <t>Cash Proxy (primary)</t>
  </si>
  <si>
    <t>UFCF (ref)</t>
  </si>
  <si>
    <t>Delta NWC</t>
  </si>
  <si>
    <t>Valuation Summary</t>
  </si>
  <si>
    <t>Metric</t>
  </si>
  <si>
    <t>Cash Proxy DCF</t>
  </si>
  <si>
    <t>UFCF DCF (ref)</t>
  </si>
  <si>
    <t>NPV of Cash Flows</t>
  </si>
  <si>
    <t>Equity Value</t>
  </si>
  <si>
    <t>(/) Diluted Shares</t>
  </si>
  <si>
    <t>Intrinsic Value Per Share</t>
  </si>
  <si>
    <t>Upside / Downside</t>
  </si>
  <si>
    <t>Terminal Value Cross-Check (Cash Proxy DCF)</t>
  </si>
  <si>
    <t>Method</t>
  </si>
  <si>
    <t>NPV</t>
  </si>
  <si>
    <t>Exit Multiple 12.0x</t>
  </si>
  <si>
    <t>Sensitivity: DR vs TGR (Cash Proxy DCF IVPS)</t>
  </si>
  <si>
    <t>DR \ TGR</t>
  </si>
  <si>
    <t>Key Assumptions</t>
  </si>
  <si>
    <t>Company</t>
  </si>
  <si>
    <t>DCF Basis</t>
  </si>
  <si>
    <t>Cash Proxy (NI-CapEx+D&amp;A)</t>
  </si>
  <si>
    <t>Discount Rate / WACC</t>
  </si>
  <si>
    <t>WACC Method</t>
  </si>
  <si>
    <t>Flat Discount Rate</t>
  </si>
  <si>
    <t>TV Method</t>
  </si>
  <si>
    <t>Mode</t>
  </si>
  <si>
    <t>Asset-Heavy (Fixed+Variable)</t>
  </si>
  <si>
    <t>Fixed COGS (base yr)</t>
  </si>
  <si>
    <t>Variable COGS Fallback</t>
  </si>
  <si>
    <t>Base PP&amp;E</t>
  </si>
  <si>
    <t>PP&amp;E Useful Life</t>
  </si>
  <si>
    <t>10 years</t>
  </si>
  <si>
    <t>Maint CapEx % PP&amp;E</t>
  </si>
  <si>
    <t>Growth CapEx Factor</t>
  </si>
  <si>
    <t>0.0x delta rev</t>
  </si>
  <si>
    <t>Shares (diluted, terminal)</t>
  </si>
  <si>
    <t>Debt Amort Rate</t>
  </si>
  <si>
    <t>3.0%/yr</t>
  </si>
  <si>
    <t>DSO=55 / DIO=90 / DPO=45</t>
  </si>
  <si>
    <t>Sandisk Corporation - Scenario Analysis (Cash Proxy DCF)</t>
  </si>
  <si>
    <t>Scenario Comparison</t>
  </si>
  <si>
    <t>Rev Growth Adj</t>
  </si>
  <si>
    <t>Margin Adj</t>
  </si>
  <si>
    <t>Tax Adj</t>
  </si>
  <si>
    <t>DR Adj</t>
  </si>
  <si>
    <t>TGR Adj</t>
  </si>
  <si>
    <t>MaintCapEx Adj</t>
  </si>
  <si>
    <t>Upside</t>
  </si>
  <si>
    <t>Probability-Weighted IVPS</t>
  </si>
  <si>
    <t>Sensitivity: DR vs TGR (Cash Proxy IVPS)</t>
  </si>
  <si>
    <t>Statistics</t>
  </si>
  <si>
    <t>Statistic</t>
  </si>
  <si>
    <t>Mean</t>
  </si>
  <si>
    <t>Std Dev</t>
  </si>
  <si>
    <t>Median (P50)</t>
  </si>
  <si>
    <t>P5 (Bear)</t>
  </si>
  <si>
    <t>P10</t>
  </si>
  <si>
    <t>P25</t>
  </si>
  <si>
    <t>P75</t>
  </si>
  <si>
    <t>P90</t>
  </si>
  <si>
    <t>P95 (Bull)</t>
  </si>
  <si>
    <t>Min</t>
  </si>
  <si>
    <t>Max</t>
  </si>
  <si>
    <t>Price Comparison</t>
  </si>
  <si>
    <t>% Iterations &gt; Current Price</t>
  </si>
  <si>
    <t>Mean Upside/Downside</t>
  </si>
  <si>
    <t>Distribution Data</t>
  </si>
  <si>
    <t>Bin Mid</t>
  </si>
  <si>
    <t>Count</t>
  </si>
  <si>
    <t>Frequency %</t>
  </si>
  <si>
    <t>Normal</t>
  </si>
  <si>
    <t xml:space="preserve"> ROCE (lev. eq.)</t>
  </si>
  <si>
    <t xml:space="preserve"> PM(AT)</t>
  </si>
  <si>
    <t xml:space="preserve"> ΔNOA</t>
  </si>
  <si>
    <t>V(NOA) no-growth</t>
  </si>
  <si>
    <t>V(NOA) with growth</t>
  </si>
  <si>
    <t xml:space="preserve"> V(E)</t>
  </si>
  <si>
    <t>Expected Return</t>
  </si>
  <si>
    <t>(+) Net Cash / Equity Bridge</t>
  </si>
  <si>
    <t>Net Cash (Balance Sheet)</t>
  </si>
  <si>
    <t>Cash Proxy DCF IVPS</t>
  </si>
  <si>
    <t>Sandisk Corporation - Cash Proxy DCF IVPS Distribution</t>
  </si>
  <si>
    <t>Sandisk Corporation - Monte Carlo Results (10000 iter, Cash Proxy DCF)</t>
  </si>
  <si>
    <t>v7.2 25/03/26</t>
  </si>
  <si>
    <t>52-yr Perpetuity (selected)</t>
  </si>
  <si>
    <t>Gordon Growth</t>
  </si>
  <si>
    <t>52-yr Explicit Perpetuity</t>
  </si>
  <si>
    <t>MC Shock Phases</t>
  </si>
  <si>
    <t>Phase 1 End Year</t>
  </si>
  <si>
    <t>Phase 2 End Year</t>
  </si>
  <si>
    <t>Phase</t>
  </si>
  <si>
    <t>Near-term</t>
  </si>
  <si>
    <t>Uncertain</t>
  </si>
  <si>
    <t>Terminal</t>
  </si>
  <si>
    <t>P1 (min)</t>
  </si>
  <si>
    <t>P2 (mode)</t>
  </si>
  <si>
    <t>P3 (max)</t>
  </si>
  <si>
    <t>Year-Level Scenario Overrides</t>
  </si>
  <si>
    <t>Bull — Growth Adj</t>
  </si>
  <si>
    <t>Bull — GM Adj</t>
  </si>
  <si>
    <t>Base — Growth Adj</t>
  </si>
  <si>
    <t>Base — GM Adj</t>
  </si>
  <si>
    <t>Bear — Growth Adj</t>
  </si>
  <si>
    <t>Bear — GM Adj</t>
  </si>
  <si>
    <t>FixedCOGS + (VarCOGSPct * BaseRevenue) ≈ actual base-year COGS. Mismatch = Year 1 discontinuity.</t>
  </si>
  <si>
    <t>SCENARIO ADJUSTMENTS</t>
  </si>
  <si>
    <t>Flat Adjustments</t>
  </si>
  <si>
    <t>MONTE CARLO SIMULATION</t>
  </si>
  <si>
    <t>Assumptions!F20</t>
  </si>
  <si>
    <t>Assumptions!F21</t>
  </si>
  <si>
    <t>Assumptions!F22</t>
  </si>
  <si>
    <t>Assumptions!F23</t>
  </si>
  <si>
    <t>Assumptions!F24</t>
  </si>
  <si>
    <t>Assumptions!F25</t>
  </si>
  <si>
    <t>Assumptions!F26</t>
  </si>
  <si>
    <t>Assumptions!F27</t>
  </si>
  <si>
    <t>Assumptions!F28</t>
  </si>
  <si>
    <t>Assumptions!F29</t>
  </si>
  <si>
    <t>Assumptions!F30</t>
  </si>
  <si>
    <t>Assumptions!F31</t>
  </si>
  <si>
    <t>Assumptions!C43</t>
  </si>
  <si>
    <t>Assumptions!C44</t>
  </si>
  <si>
    <t>Assumptions!C18</t>
  </si>
  <si>
    <t>Assumptions!C50</t>
  </si>
  <si>
    <t>Assumptions!C47</t>
  </si>
  <si>
    <t>Assumptions!C48</t>
  </si>
  <si>
    <t>Assumptions!C49</t>
  </si>
  <si>
    <t>Assumptions!C51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</si>
</sst>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&quot;$&quot;#,##0.00;[Red]\-&quot;$&quot;#,##0.00"/>
    <numFmt numFmtId="164" formatCode="0.0%"/>
    <numFmt numFmtId="165" formatCode="&quot;$&quot;#,##0.00"/>
    <numFmt numFmtId="166" formatCode="0.000"/>
    <numFmt numFmtId="167" formatCode="0.0000"/>
    <numFmt numFmtId="168" formatCode="#,##0.0"/>
    <numFmt numFmtId="169" formatCode="0.0"/>
    <numFmt numFmtId="170" formatCode="0.0\x"/>
    <numFmt numFmtId="171" formatCode="\+0.0%;\-0.0%"/>
    <numFmt numFmtId="172" formatCode="&quot;$&quot;#,##0"/>
  </numFmts>
  <fonts count="38" x14ac:knownFonts="1">
    <font>
      <sz val="11"/>
      <color theme="1"/>
      <name val="Aptos Narrow"/>
      <family val="2"/>
      <scheme val="minor"/>
    </font>
    <font>
      <sz val="11"/>
      <color theme="1"/>
      <name val="Palatino Linotype"/>
      <family val="1"/>
    </font>
    <font>
      <sz val="10"/>
      <color theme="1"/>
      <name val="Bookman Old Style"/>
      <family val="1"/>
    </font>
    <font>
      <b/>
      <sz val="14"/>
      <color rgb="FF1F4E79"/>
      <name val="Bookman Old Style"/>
      <family val="1"/>
    </font>
    <font>
      <sz val="11"/>
      <color theme="1"/>
      <name val="Bookman Old Style"/>
      <family val="1"/>
    </font>
    <font>
      <sz val="10"/>
      <color rgb="FF0000FF"/>
      <name val="Bookman Old Style"/>
      <family val="1"/>
    </font>
    <font>
      <b/>
      <sz val="10"/>
      <color theme="1"/>
      <name val="Bookman Old Style"/>
      <family val="1"/>
    </font>
    <font>
      <sz val="9"/>
      <color theme="1"/>
      <name val="Bookman Old Style"/>
      <family val="1"/>
    </font>
    <font>
      <sz val="11"/>
      <color theme="1"/>
      <name val="Aptos Narrow"/>
      <family val="2"/>
      <scheme val="minor"/>
    </font>
    <font>
      <b/>
      <sz val="12"/>
      <color rgb="FFFFFFFF"/>
      <name val="Bookman Old Style"/>
      <family val="1"/>
    </font>
    <font>
      <sz val="10"/>
      <color rgb="FF000000"/>
      <name val="Bookman Old Style"/>
      <family val="1"/>
    </font>
    <font>
      <b/>
      <sz val="10"/>
      <color rgb="FF000000"/>
      <name val="Bookman Old Style"/>
      <family val="1"/>
    </font>
    <font>
      <b/>
      <sz val="30"/>
      <color rgb="FF1F4E79"/>
      <name val="Bookman Old Style"/>
      <family val="1"/>
    </font>
    <font>
      <b/>
      <sz val="9"/>
      <color indexed="81"/>
      <name val="Tahoma"/>
      <family val="2"/>
    </font>
    <font>
      <b/>
      <sz val="36"/>
      <color rgb="FFFFFFFF"/>
      <name val="Bookman Old Style"/>
      <family val="1"/>
    </font>
    <font>
      <b/>
      <sz val="20"/>
      <color rgb="FFFFFFFF"/>
      <name val="Bookman Old Style"/>
      <family val="1"/>
    </font>
    <font>
      <b/>
      <sz val="14"/>
      <color theme="1"/>
      <name val="Bookman Old Style"/>
      <family val="1"/>
    </font>
    <font>
      <b/>
      <sz val="10"/>
      <color rgb="FFFFFFFF"/>
      <name val="Bookman Old Style"/>
      <family val="1"/>
    </font>
    <font>
      <b/>
      <sz val="11"/>
      <color rgb="FFFFFFFF"/>
      <name val="Bookman Old Style"/>
      <family val="1"/>
    </font>
    <font>
      <sz val="9"/>
      <color rgb="FF666666"/>
      <name val="Bookman Old Style"/>
      <family val="1"/>
    </font>
    <font>
      <b/>
      <sz val="10"/>
      <color rgb="FF1F4E79"/>
      <name val="Bookman Old Style"/>
      <family val="1"/>
    </font>
    <font>
      <b/>
      <sz val="10"/>
      <color rgb="FFFFFFFF"/>
      <name val="Bookman Old Style"/>
      <family val="1"/>
    </font>
    <font>
      <b/>
      <sz val="11"/>
      <color rgb="FFFFFFFF"/>
      <name val="Bookman Old Style"/>
      <family val="1"/>
    </font>
    <font>
      <b/>
      <sz val="9"/>
      <color rgb="FF000000"/>
      <name val="Bookman Old Style"/>
      <family val="1"/>
    </font>
    <font>
      <b/>
      <sz val="10"/>
      <color rgb="FF000000"/>
      <name val="Bookman Old Style"/>
      <family val="1"/>
    </font>
    <font>
      <sz val="9"/>
      <color rgb="FF666666"/>
      <name val="Bookman Old Style"/>
      <family val="1"/>
    </font>
    <font>
      <sz val="10"/>
      <color rgb="FF000000"/>
      <name val="Bookman Old Style"/>
      <family val="1"/>
    </font>
    <font>
      <b/>
      <sz val="10"/>
      <color theme="1"/>
      <name val="Bookman Old Style"/>
      <family val="1"/>
    </font>
    <font>
      <sz val="10"/>
      <color theme="1"/>
      <name val="Bookman Old Style"/>
      <family val="1"/>
    </font>
    <font>
      <sz val="10"/>
      <color rgb="FFFF0000"/>
      <name val="Bookman Old Style"/>
      <family val="1"/>
    </font>
    <font>
      <b/>
      <sz val="9"/>
      <color rgb="FF666666"/>
      <name val="Bookman Old Style"/>
      <family val="1"/>
    </font>
    <font>
      <b/>
      <sz val="24"/>
      <color rgb="FF1F4E79"/>
      <name val="Bookman Old Style"/>
      <family val="1"/>
    </font>
    <font>
      <i/>
      <sz val="8"/>
      <color rgb="FF806000"/>
      <name val="Bookman Old Style"/>
      <family val="1"/>
    </font>
    <font>
      <i/>
      <sz val="10"/>
      <color rgb="FF000000"/>
      <name val="Bookman Old Style"/>
      <family val="1"/>
    </font>
    <font>
      <b/>
      <sz val="13"/>
      <color rgb="FF000000"/>
      <name val="Bookman Old Style"/>
      <family val="1"/>
    </font>
    <font>
      <sz val="10"/>
      <color rgb="FFC00000"/>
      <name val="Bookman Old Style"/>
      <family val="1"/>
    </font>
    <font>
      <sz val="10"/>
      <color rgb="FF00B050"/>
      <name val="Bookman Old Style"/>
      <family val="1"/>
    </font>
    <font>
      <b/>
      <sz val="10"/>
      <color rgb="FF00B050"/>
      <name val="Bookman Old Style"/>
      <family val="1"/>
    </font>
  </fonts>
  <fills count="8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FFFFF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/>
      <diagonal/>
    </border>
    <border>
      <left/>
      <right/>
      <top/>
      <bottom style="medium">
        <color rgb="FF1F4E79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/>
      <top style="medium">
        <color rgb="FF1F4E79"/>
      </top>
      <bottom/>
      <diagonal/>
    </border>
    <border>
      <left/>
      <right style="medium">
        <color rgb="FF1F4E79"/>
      </right>
      <top/>
      <bottom/>
      <diagonal/>
    </border>
    <border>
      <left style="medium">
        <color rgb="FF1F4E79"/>
      </left>
      <right/>
      <top/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/>
      <bottom/>
      <diagonal/>
    </border>
    <border>
      <left/>
      <right/>
      <top style="thin">
        <color rgb="FF1F4E79"/>
      </top>
      <bottom style="thin">
        <color rgb="FFD9D9D9"/>
      </bottom>
      <diagonal/>
    </border>
    <border>
      <left/>
      <right/>
      <top style="thin">
        <color rgb="FF1F4E79"/>
      </top>
      <bottom style="thin">
        <color rgb="FF1F4E79"/>
      </bottom>
      <diagonal/>
    </border>
    <border>
      <left/>
      <right/>
      <top style="thin">
        <color rgb="FF1F4E79"/>
      </top>
      <bottom/>
      <diagonal/>
    </border>
    <border>
      <left/>
      <right/>
      <top style="thin">
        <color rgb="FFD9D9D9"/>
      </top>
      <bottom style="thin">
        <color rgb="FF1F4E79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D9D9D9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21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2" fillId="3" borderId="7" xfId="0" applyFont="1" applyFill="1" applyBorder="1"/>
    <xf numFmtId="0" fontId="6" fillId="3" borderId="7" xfId="0" applyFont="1" applyFill="1" applyBorder="1"/>
    <xf numFmtId="0" fontId="5" fillId="4" borderId="7" xfId="0" applyFont="1" applyFill="1" applyBorder="1" applyAlignment="1">
      <alignment horizontal="center"/>
    </xf>
    <xf numFmtId="0" fontId="2" fillId="3" borderId="8" xfId="0" applyFont="1" applyFill="1" applyBorder="1"/>
    <xf numFmtId="0" fontId="5" fillId="4" borderId="8" xfId="0" applyFont="1" applyFill="1" applyBorder="1" applyAlignment="1">
      <alignment horizontal="center"/>
    </xf>
    <xf numFmtId="10" fontId="5" fillId="4" borderId="7" xfId="0" applyNumberFormat="1" applyFont="1" applyFill="1" applyBorder="1" applyAlignment="1">
      <alignment horizontal="center"/>
    </xf>
    <xf numFmtId="0" fontId="6" fillId="6" borderId="0" xfId="0" applyFont="1" applyFill="1"/>
    <xf numFmtId="0" fontId="4" fillId="6" borderId="0" xfId="0" applyFont="1" applyFill="1"/>
    <xf numFmtId="0" fontId="7" fillId="6" borderId="0" xfId="0" applyFont="1" applyFill="1" applyAlignment="1">
      <alignment horizontal="center"/>
    </xf>
    <xf numFmtId="0" fontId="6" fillId="3" borderId="8" xfId="0" applyFont="1" applyFill="1" applyBorder="1"/>
    <xf numFmtId="9" fontId="5" fillId="4" borderId="8" xfId="0" applyNumberFormat="1" applyFont="1" applyFill="1" applyBorder="1" applyAlignment="1">
      <alignment horizontal="center"/>
    </xf>
    <xf numFmtId="3" fontId="5" fillId="4" borderId="7" xfId="0" applyNumberFormat="1" applyFont="1" applyFill="1" applyBorder="1" applyAlignment="1">
      <alignment horizontal="center"/>
    </xf>
    <xf numFmtId="10" fontId="5" fillId="4" borderId="8" xfId="0" applyNumberFormat="1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3" fontId="5" fillId="4" borderId="8" xfId="0" applyNumberFormat="1" applyFont="1" applyFill="1" applyBorder="1" applyAlignment="1">
      <alignment horizontal="center"/>
    </xf>
    <xf numFmtId="0" fontId="9" fillId="2" borderId="6" xfId="0" applyFont="1" applyFill="1" applyBorder="1"/>
    <xf numFmtId="0" fontId="10" fillId="7" borderId="0" xfId="0" applyFont="1" applyFill="1"/>
    <xf numFmtId="0" fontId="3" fillId="7" borderId="0" xfId="0" applyFont="1" applyFill="1"/>
    <xf numFmtId="0" fontId="11" fillId="6" borderId="8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left"/>
    </xf>
    <xf numFmtId="3" fontId="10" fillId="3" borderId="7" xfId="0" applyNumberFormat="1" applyFont="1" applyFill="1" applyBorder="1" applyAlignment="1">
      <alignment horizontal="left"/>
    </xf>
    <xf numFmtId="0" fontId="4" fillId="7" borderId="0" xfId="0" applyFont="1" applyFill="1"/>
    <xf numFmtId="0" fontId="4" fillId="7" borderId="9" xfId="0" applyFont="1" applyFill="1" applyBorder="1"/>
    <xf numFmtId="0" fontId="4" fillId="7" borderId="13" xfId="0" applyFont="1" applyFill="1" applyBorder="1"/>
    <xf numFmtId="0" fontId="4" fillId="7" borderId="14" xfId="0" applyFont="1" applyFill="1" applyBorder="1"/>
    <xf numFmtId="0" fontId="4" fillId="6" borderId="9" xfId="0" applyFont="1" applyFill="1" applyBorder="1"/>
    <xf numFmtId="0" fontId="4" fillId="6" borderId="12" xfId="0" applyFont="1" applyFill="1" applyBorder="1"/>
    <xf numFmtId="0" fontId="4" fillId="7" borderId="16" xfId="0" applyFont="1" applyFill="1" applyBorder="1"/>
    <xf numFmtId="0" fontId="4" fillId="7" borderId="15" xfId="0" applyFont="1" applyFill="1" applyBorder="1"/>
    <xf numFmtId="0" fontId="4" fillId="7" borderId="12" xfId="0" applyFont="1" applyFill="1" applyBorder="1"/>
    <xf numFmtId="0" fontId="2" fillId="0" borderId="0" xfId="0" applyFont="1" applyAlignment="1">
      <alignment vertical="center"/>
    </xf>
    <xf numFmtId="0" fontId="17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6" fillId="6" borderId="0" xfId="0" applyFont="1" applyFill="1" applyAlignment="1">
      <alignment vertical="center"/>
    </xf>
    <xf numFmtId="0" fontId="6" fillId="6" borderId="0" xfId="0" applyFont="1" applyFill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6" fillId="6" borderId="8" xfId="0" applyFont="1" applyFill="1" applyBorder="1" applyAlignment="1">
      <alignment horizontal="center" vertical="center"/>
    </xf>
    <xf numFmtId="0" fontId="17" fillId="2" borderId="18" xfId="0" applyFont="1" applyFill="1" applyBorder="1" applyAlignment="1">
      <alignment horizontal="center" vertical="center"/>
    </xf>
    <xf numFmtId="0" fontId="6" fillId="6" borderId="18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6" fillId="3" borderId="17" xfId="0" applyFont="1" applyFill="1" applyBorder="1" applyAlignment="1">
      <alignment vertical="center"/>
    </xf>
    <xf numFmtId="0" fontId="2" fillId="5" borderId="17" xfId="0" applyFont="1" applyFill="1" applyBorder="1" applyAlignment="1">
      <alignment horizontal="center" vertical="center"/>
    </xf>
    <xf numFmtId="0" fontId="19" fillId="7" borderId="17" xfId="0" applyFont="1" applyFill="1" applyBorder="1" applyAlignment="1">
      <alignment vertical="center"/>
    </xf>
    <xf numFmtId="0" fontId="2" fillId="5" borderId="7" xfId="0" applyFont="1" applyFill="1" applyBorder="1" applyAlignment="1">
      <alignment horizontal="center" vertical="center"/>
    </xf>
    <xf numFmtId="0" fontId="19" fillId="7" borderId="7" xfId="0" applyFont="1" applyFill="1" applyBorder="1" applyAlignment="1">
      <alignment vertical="center"/>
    </xf>
    <xf numFmtId="0" fontId="2" fillId="4" borderId="0" xfId="0" applyFont="1" applyFill="1" applyAlignment="1">
      <alignment vertical="center"/>
    </xf>
    <xf numFmtId="0" fontId="2" fillId="4" borderId="0" xfId="0" applyFont="1" applyFill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2" fillId="3" borderId="17" xfId="0" applyFont="1" applyFill="1" applyBorder="1" applyAlignment="1">
      <alignment vertical="center"/>
    </xf>
    <xf numFmtId="0" fontId="2" fillId="0" borderId="17" xfId="0" applyFont="1" applyBorder="1" applyAlignment="1">
      <alignment vertical="center"/>
    </xf>
    <xf numFmtId="0" fontId="5" fillId="5" borderId="17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vertical="center"/>
    </xf>
    <xf numFmtId="0" fontId="2" fillId="0" borderId="7" xfId="0" applyFont="1" applyBorder="1" applyAlignment="1">
      <alignment vertical="center"/>
    </xf>
    <xf numFmtId="0" fontId="5" fillId="5" borderId="7" xfId="0" applyFont="1" applyFill="1" applyBorder="1" applyAlignment="1">
      <alignment horizontal="center" vertical="center"/>
    </xf>
    <xf numFmtId="0" fontId="6" fillId="6" borderId="8" xfId="0" applyFont="1" applyFill="1" applyBorder="1" applyAlignment="1">
      <alignment vertical="center"/>
    </xf>
    <xf numFmtId="0" fontId="6" fillId="6" borderId="18" xfId="0" applyFont="1" applyFill="1" applyBorder="1" applyAlignment="1">
      <alignment vertical="center"/>
    </xf>
    <xf numFmtId="0" fontId="21" fillId="2" borderId="19" xfId="0" applyFont="1" applyFill="1" applyBorder="1" applyAlignment="1">
      <alignment horizontal="center"/>
    </xf>
    <xf numFmtId="0" fontId="23" fillId="6" borderId="8" xfId="0" applyFont="1" applyFill="1" applyBorder="1" applyAlignment="1">
      <alignment horizontal="center"/>
    </xf>
    <xf numFmtId="0" fontId="24" fillId="3" borderId="8" xfId="0" applyFont="1" applyFill="1" applyBorder="1"/>
    <xf numFmtId="0" fontId="25" fillId="7" borderId="8" xfId="0" applyFont="1" applyFill="1" applyBorder="1"/>
    <xf numFmtId="0" fontId="23" fillId="6" borderId="20" xfId="0" applyFont="1" applyFill="1" applyBorder="1" applyAlignment="1">
      <alignment horizontal="center"/>
    </xf>
    <xf numFmtId="0" fontId="24" fillId="3" borderId="20" xfId="0" applyFont="1" applyFill="1" applyBorder="1"/>
    <xf numFmtId="0" fontId="25" fillId="7" borderId="20" xfId="0" applyFont="1" applyFill="1" applyBorder="1"/>
    <xf numFmtId="0" fontId="22" fillId="2" borderId="19" xfId="0" applyFont="1" applyFill="1" applyBorder="1"/>
    <xf numFmtId="3" fontId="26" fillId="5" borderId="8" xfId="0" applyNumberFormat="1" applyFont="1" applyFill="1" applyBorder="1" applyAlignment="1">
      <alignment horizontal="center"/>
    </xf>
    <xf numFmtId="166" fontId="26" fillId="5" borderId="8" xfId="0" applyNumberFormat="1" applyFont="1" applyFill="1" applyBorder="1" applyAlignment="1">
      <alignment horizontal="center"/>
    </xf>
    <xf numFmtId="167" fontId="26" fillId="5" borderId="8" xfId="0" applyNumberFormat="1" applyFont="1" applyFill="1" applyBorder="1" applyAlignment="1">
      <alignment horizontal="center"/>
    </xf>
    <xf numFmtId="10" fontId="26" fillId="5" borderId="8" xfId="0" applyNumberFormat="1" applyFont="1" applyFill="1" applyBorder="1" applyAlignment="1">
      <alignment horizontal="center"/>
    </xf>
    <xf numFmtId="164" fontId="26" fillId="5" borderId="8" xfId="0" applyNumberFormat="1" applyFont="1" applyFill="1" applyBorder="1" applyAlignment="1">
      <alignment horizontal="center"/>
    </xf>
    <xf numFmtId="168" fontId="26" fillId="5" borderId="8" xfId="0" applyNumberFormat="1" applyFont="1" applyFill="1" applyBorder="1" applyAlignment="1">
      <alignment horizontal="center"/>
    </xf>
    <xf numFmtId="169" fontId="26" fillId="5" borderId="8" xfId="0" applyNumberFormat="1" applyFont="1" applyFill="1" applyBorder="1" applyAlignment="1">
      <alignment horizontal="center"/>
    </xf>
    <xf numFmtId="170" fontId="26" fillId="5" borderId="8" xfId="0" applyNumberFormat="1" applyFont="1" applyFill="1" applyBorder="1" applyAlignment="1">
      <alignment horizontal="center"/>
    </xf>
    <xf numFmtId="10" fontId="26" fillId="5" borderId="20" xfId="0" applyNumberFormat="1" applyFont="1" applyFill="1" applyBorder="1" applyAlignment="1">
      <alignment horizontal="center"/>
    </xf>
    <xf numFmtId="165" fontId="26" fillId="5" borderId="8" xfId="0" applyNumberFormat="1" applyFont="1" applyFill="1" applyBorder="1" applyAlignment="1">
      <alignment horizontal="center"/>
    </xf>
    <xf numFmtId="10" fontId="2" fillId="5" borderId="7" xfId="1" applyNumberFormat="1" applyFont="1" applyFill="1" applyBorder="1" applyAlignment="1">
      <alignment horizontal="center" vertical="center"/>
    </xf>
    <xf numFmtId="169" fontId="2" fillId="5" borderId="7" xfId="0" applyNumberFormat="1" applyFont="1" applyFill="1" applyBorder="1" applyAlignment="1">
      <alignment horizontal="center" vertical="center"/>
    </xf>
    <xf numFmtId="1" fontId="2" fillId="5" borderId="7" xfId="0" applyNumberFormat="1" applyFont="1" applyFill="1" applyBorder="1" applyAlignment="1">
      <alignment horizontal="center" vertical="center"/>
    </xf>
    <xf numFmtId="0" fontId="27" fillId="3" borderId="7" xfId="0" applyFont="1" applyFill="1" applyBorder="1" applyAlignment="1">
      <alignment vertical="center"/>
    </xf>
    <xf numFmtId="0" fontId="25" fillId="7" borderId="17" xfId="0" applyFont="1" applyFill="1" applyBorder="1" applyAlignment="1">
      <alignment vertical="center"/>
    </xf>
    <xf numFmtId="0" fontId="25" fillId="7" borderId="7" xfId="0" applyFont="1" applyFill="1" applyBorder="1" applyAlignment="1">
      <alignment vertical="center"/>
    </xf>
    <xf numFmtId="10" fontId="29" fillId="5" borderId="17" xfId="0" applyNumberFormat="1" applyFont="1" applyFill="1" applyBorder="1" applyAlignment="1">
      <alignment horizontal="center" vertical="center"/>
    </xf>
    <xf numFmtId="10" fontId="29" fillId="5" borderId="7" xfId="0" applyNumberFormat="1" applyFont="1" applyFill="1" applyBorder="1" applyAlignment="1">
      <alignment horizontal="center" vertical="center"/>
    </xf>
    <xf numFmtId="167" fontId="29" fillId="5" borderId="7" xfId="0" applyNumberFormat="1" applyFont="1" applyFill="1" applyBorder="1" applyAlignment="1">
      <alignment horizontal="center" vertical="center"/>
    </xf>
    <xf numFmtId="2" fontId="29" fillId="5" borderId="7" xfId="0" applyNumberFormat="1" applyFont="1" applyFill="1" applyBorder="1" applyAlignment="1">
      <alignment horizontal="center" vertical="center"/>
    </xf>
    <xf numFmtId="3" fontId="29" fillId="5" borderId="7" xfId="0" applyNumberFormat="1" applyFont="1" applyFill="1" applyBorder="1" applyAlignment="1">
      <alignment horizontal="center" vertical="center"/>
    </xf>
    <xf numFmtId="164" fontId="28" fillId="5" borderId="7" xfId="0" applyNumberFormat="1" applyFont="1" applyFill="1" applyBorder="1" applyAlignment="1">
      <alignment horizontal="center" vertical="center"/>
    </xf>
    <xf numFmtId="165" fontId="28" fillId="5" borderId="7" xfId="0" applyNumberFormat="1" applyFont="1" applyFill="1" applyBorder="1" applyAlignment="1">
      <alignment horizontal="center" vertical="center"/>
    </xf>
    <xf numFmtId="0" fontId="30" fillId="7" borderId="7" xfId="0" applyFont="1" applyFill="1" applyBorder="1" applyAlignment="1">
      <alignment horizontal="center"/>
    </xf>
    <xf numFmtId="10" fontId="28" fillId="5" borderId="7" xfId="0" applyNumberFormat="1" applyFont="1" applyFill="1" applyBorder="1" applyAlignment="1">
      <alignment horizontal="center" vertical="center"/>
    </xf>
    <xf numFmtId="0" fontId="17" fillId="2" borderId="19" xfId="0" applyFont="1" applyFill="1" applyBorder="1" applyAlignment="1">
      <alignment horizontal="center" vertical="center"/>
    </xf>
    <xf numFmtId="3" fontId="26" fillId="5" borderId="7" xfId="0" applyNumberFormat="1" applyFont="1" applyFill="1" applyBorder="1" applyAlignment="1">
      <alignment horizontal="center" vertical="center"/>
    </xf>
    <xf numFmtId="0" fontId="30" fillId="7" borderId="7" xfId="0" applyFont="1" applyFill="1" applyBorder="1" applyAlignment="1">
      <alignment vertical="center"/>
    </xf>
    <xf numFmtId="164" fontId="26" fillId="5" borderId="8" xfId="1" applyNumberFormat="1" applyFont="1" applyFill="1" applyBorder="1" applyAlignment="1">
      <alignment horizontal="center"/>
    </xf>
    <xf numFmtId="10" fontId="26" fillId="5" borderId="8" xfId="1" applyNumberFormat="1" applyFont="1" applyFill="1" applyBorder="1" applyAlignment="1">
      <alignment horizontal="center"/>
    </xf>
    <xf numFmtId="165" fontId="2" fillId="5" borderId="7" xfId="0" applyNumberFormat="1" applyFont="1" applyFill="1" applyBorder="1" applyAlignment="1">
      <alignment horizontal="center"/>
    </xf>
    <xf numFmtId="0" fontId="6" fillId="3" borderId="7" xfId="0" applyFont="1" applyFill="1" applyBorder="1" applyAlignment="1">
      <alignment horizontal="left"/>
    </xf>
    <xf numFmtId="10" fontId="2" fillId="4" borderId="17" xfId="1" applyNumberFormat="1" applyFont="1" applyFill="1" applyBorder="1" applyAlignment="1">
      <alignment horizontal="center" vertical="center"/>
    </xf>
    <xf numFmtId="10" fontId="2" fillId="4" borderId="7" xfId="1" applyNumberFormat="1" applyFont="1" applyFill="1" applyBorder="1" applyAlignment="1">
      <alignment horizontal="center" vertical="center"/>
    </xf>
    <xf numFmtId="164" fontId="5" fillId="4" borderId="8" xfId="0" applyNumberFormat="1" applyFont="1" applyFill="1" applyBorder="1" applyAlignment="1">
      <alignment horizontal="center"/>
    </xf>
    <xf numFmtId="164" fontId="5" fillId="4" borderId="7" xfId="0" applyNumberFormat="1" applyFont="1" applyFill="1" applyBorder="1" applyAlignment="1">
      <alignment horizontal="center"/>
    </xf>
    <xf numFmtId="2" fontId="5" fillId="4" borderId="8" xfId="0" applyNumberFormat="1" applyFont="1" applyFill="1" applyBorder="1" applyAlignment="1">
      <alignment horizontal="center"/>
    </xf>
    <xf numFmtId="2" fontId="5" fillId="4" borderId="7" xfId="0" applyNumberFormat="1" applyFont="1" applyFill="1" applyBorder="1" applyAlignment="1">
      <alignment horizontal="center"/>
    </xf>
    <xf numFmtId="1" fontId="5" fillId="4" borderId="7" xfId="0" applyNumberFormat="1" applyFont="1" applyFill="1" applyBorder="1" applyAlignment="1">
      <alignment horizontal="center"/>
    </xf>
    <xf numFmtId="1" fontId="5" fillId="4" borderId="8" xfId="0" applyNumberFormat="1" applyFont="1" applyFill="1" applyBorder="1" applyAlignment="1">
      <alignment horizontal="center"/>
    </xf>
    <xf numFmtId="17" fontId="17" fillId="2" borderId="0" xfId="0" applyNumberFormat="1" applyFont="1" applyFill="1" applyAlignment="1">
      <alignment horizontal="center" vertical="center"/>
    </xf>
    <xf numFmtId="0" fontId="10" fillId="5" borderId="7" xfId="0" applyFont="1" applyFill="1" applyBorder="1" applyAlignment="1">
      <alignment horizontal="center"/>
    </xf>
    <xf numFmtId="0" fontId="11" fillId="6" borderId="8" xfId="0" applyFont="1" applyFill="1" applyBorder="1" applyAlignment="1">
      <alignment horizontal="left"/>
    </xf>
    <xf numFmtId="0" fontId="10" fillId="3" borderId="8" xfId="0" applyFont="1" applyFill="1" applyBorder="1" applyAlignment="1">
      <alignment horizontal="left"/>
    </xf>
    <xf numFmtId="3" fontId="10" fillId="6" borderId="8" xfId="0" applyNumberFormat="1" applyFont="1" applyFill="1" applyBorder="1" applyAlignment="1">
      <alignment horizontal="center"/>
    </xf>
    <xf numFmtId="3" fontId="10" fillId="5" borderId="8" xfId="0" applyNumberFormat="1" applyFont="1" applyFill="1" applyBorder="1" applyAlignment="1">
      <alignment horizontal="center"/>
    </xf>
    <xf numFmtId="0" fontId="9" fillId="2" borderId="8" xfId="0" applyFont="1" applyFill="1" applyBorder="1" applyAlignment="1">
      <alignment horizontal="left"/>
    </xf>
    <xf numFmtId="3" fontId="10" fillId="6" borderId="7" xfId="0" applyNumberFormat="1" applyFont="1" applyFill="1" applyBorder="1" applyAlignment="1">
      <alignment horizontal="center"/>
    </xf>
    <xf numFmtId="3" fontId="10" fillId="5" borderId="7" xfId="0" applyNumberFormat="1" applyFont="1" applyFill="1" applyBorder="1" applyAlignment="1">
      <alignment horizontal="center"/>
    </xf>
    <xf numFmtId="0" fontId="11" fillId="3" borderId="8" xfId="0" applyFont="1" applyFill="1" applyBorder="1" applyAlignment="1">
      <alignment horizontal="left"/>
    </xf>
    <xf numFmtId="3" fontId="11" fillId="6" borderId="8" xfId="0" applyNumberFormat="1" applyFont="1" applyFill="1" applyBorder="1" applyAlignment="1">
      <alignment horizontal="center"/>
    </xf>
    <xf numFmtId="3" fontId="11" fillId="5" borderId="8" xfId="0" applyNumberFormat="1" applyFont="1" applyFill="1" applyBorder="1" applyAlignment="1">
      <alignment horizontal="center"/>
    </xf>
    <xf numFmtId="0" fontId="11" fillId="3" borderId="7" xfId="0" applyFont="1" applyFill="1" applyBorder="1" applyAlignment="1">
      <alignment horizontal="left"/>
    </xf>
    <xf numFmtId="0" fontId="33" fillId="3" borderId="8" xfId="0" applyFont="1" applyFill="1" applyBorder="1" applyAlignment="1">
      <alignment horizontal="left"/>
    </xf>
    <xf numFmtId="0" fontId="10" fillId="7" borderId="8" xfId="0" applyFont="1" applyFill="1" applyBorder="1"/>
    <xf numFmtId="164" fontId="10" fillId="5" borderId="8" xfId="0" applyNumberFormat="1" applyFont="1" applyFill="1" applyBorder="1" applyAlignment="1">
      <alignment horizontal="center"/>
    </xf>
    <xf numFmtId="0" fontId="9" fillId="2" borderId="6" xfId="0" applyFont="1" applyFill="1" applyBorder="1" applyAlignment="1">
      <alignment horizontal="left"/>
    </xf>
    <xf numFmtId="164" fontId="10" fillId="6" borderId="8" xfId="0" applyNumberFormat="1" applyFont="1" applyFill="1" applyBorder="1" applyAlignment="1">
      <alignment horizontal="center"/>
    </xf>
    <xf numFmtId="165" fontId="10" fillId="6" borderId="8" xfId="0" applyNumberFormat="1" applyFont="1" applyFill="1" applyBorder="1" applyAlignment="1">
      <alignment horizontal="center"/>
    </xf>
    <xf numFmtId="165" fontId="10" fillId="5" borderId="8" xfId="0" applyNumberFormat="1" applyFont="1" applyFill="1" applyBorder="1" applyAlignment="1">
      <alignment horizontal="center"/>
    </xf>
    <xf numFmtId="0" fontId="10" fillId="5" borderId="8" xfId="0" applyFont="1" applyFill="1" applyBorder="1" applyAlignment="1">
      <alignment horizontal="center"/>
    </xf>
    <xf numFmtId="165" fontId="34" fillId="5" borderId="8" xfId="0" applyNumberFormat="1" applyFont="1" applyFill="1" applyBorder="1" applyAlignment="1">
      <alignment horizontal="center"/>
    </xf>
    <xf numFmtId="165" fontId="11" fillId="5" borderId="8" xfId="0" applyNumberFormat="1" applyFont="1" applyFill="1" applyBorder="1" applyAlignment="1">
      <alignment horizontal="center"/>
    </xf>
    <xf numFmtId="165" fontId="34" fillId="5" borderId="7" xfId="0" applyNumberFormat="1" applyFont="1" applyFill="1" applyBorder="1" applyAlignment="1">
      <alignment horizontal="center"/>
    </xf>
    <xf numFmtId="164" fontId="35" fillId="5" borderId="8" xfId="0" applyNumberFormat="1" applyFont="1" applyFill="1" applyBorder="1" applyAlignment="1">
      <alignment horizontal="center"/>
    </xf>
    <xf numFmtId="164" fontId="11" fillId="3" borderId="8" xfId="0" applyNumberFormat="1" applyFont="1" applyFill="1" applyBorder="1" applyAlignment="1">
      <alignment horizontal="left"/>
    </xf>
    <xf numFmtId="165" fontId="35" fillId="5" borderId="8" xfId="0" applyNumberFormat="1" applyFont="1" applyFill="1" applyBorder="1" applyAlignment="1">
      <alignment horizontal="center"/>
    </xf>
    <xf numFmtId="164" fontId="11" fillId="6" borderId="8" xfId="0" applyNumberFormat="1" applyFont="1" applyFill="1" applyBorder="1" applyAlignment="1">
      <alignment horizontal="center"/>
    </xf>
    <xf numFmtId="164" fontId="11" fillId="3" borderId="7" xfId="0" applyNumberFormat="1" applyFont="1" applyFill="1" applyBorder="1" applyAlignment="1">
      <alignment horizontal="left"/>
    </xf>
    <xf numFmtId="165" fontId="35" fillId="5" borderId="7" xfId="0" applyNumberFormat="1" applyFont="1" applyFill="1" applyBorder="1" applyAlignment="1">
      <alignment horizontal="center"/>
    </xf>
    <xf numFmtId="0" fontId="10" fillId="5" borderId="8" xfId="0" applyFont="1" applyFill="1" applyBorder="1" applyAlignment="1">
      <alignment horizontal="left"/>
    </xf>
    <xf numFmtId="0" fontId="10" fillId="5" borderId="7" xfId="0" applyFont="1" applyFill="1" applyBorder="1" applyAlignment="1">
      <alignment horizontal="left"/>
    </xf>
    <xf numFmtId="10" fontId="10" fillId="5" borderId="8" xfId="0" applyNumberFormat="1" applyFont="1" applyFill="1" applyBorder="1" applyAlignment="1">
      <alignment horizontal="left"/>
    </xf>
    <xf numFmtId="3" fontId="10" fillId="5" borderId="8" xfId="0" applyNumberFormat="1" applyFont="1" applyFill="1" applyBorder="1" applyAlignment="1">
      <alignment horizontal="left"/>
    </xf>
    <xf numFmtId="164" fontId="10" fillId="5" borderId="8" xfId="0" applyNumberFormat="1" applyFont="1" applyFill="1" applyBorder="1" applyAlignment="1">
      <alignment horizontal="left"/>
    </xf>
    <xf numFmtId="8" fontId="10" fillId="5" borderId="8" xfId="0" applyNumberFormat="1" applyFont="1" applyFill="1" applyBorder="1" applyAlignment="1">
      <alignment horizontal="left"/>
    </xf>
    <xf numFmtId="171" fontId="5" fillId="4" borderId="8" xfId="0" applyNumberFormat="1" applyFont="1" applyFill="1" applyBorder="1" applyAlignment="1">
      <alignment horizontal="center"/>
    </xf>
    <xf numFmtId="172" fontId="10" fillId="3" borderId="8" xfId="0" applyNumberFormat="1" applyFont="1" applyFill="1" applyBorder="1" applyAlignment="1">
      <alignment horizontal="center"/>
    </xf>
    <xf numFmtId="10" fontId="10" fillId="5" borderId="8" xfId="0" applyNumberFormat="1" applyFont="1" applyFill="1" applyBorder="1" applyAlignment="1">
      <alignment horizontal="center"/>
    </xf>
    <xf numFmtId="172" fontId="10" fillId="3" borderId="7" xfId="0" applyNumberFormat="1" applyFont="1" applyFill="1" applyBorder="1" applyAlignment="1">
      <alignment horizontal="center"/>
    </xf>
    <xf numFmtId="10" fontId="10" fillId="5" borderId="7" xfId="0" applyNumberFormat="1" applyFont="1" applyFill="1" applyBorder="1" applyAlignment="1">
      <alignment horizontal="center"/>
    </xf>
    <xf numFmtId="164" fontId="36" fillId="5" borderId="8" xfId="0" applyNumberFormat="1" applyFont="1" applyFill="1" applyBorder="1" applyAlignment="1">
      <alignment horizontal="center"/>
    </xf>
    <xf numFmtId="165" fontId="36" fillId="5" borderId="8" xfId="0" applyNumberFormat="1" applyFont="1" applyFill="1" applyBorder="1" applyAlignment="1">
      <alignment horizontal="center"/>
    </xf>
    <xf numFmtId="164" fontId="37" fillId="5" borderId="7" xfId="0" applyNumberFormat="1" applyFont="1" applyFill="1" applyBorder="1" applyAlignment="1">
      <alignment horizontal="center"/>
    </xf>
    <xf numFmtId="0" fontId="11" fillId="3" borderId="7" xfId="0" applyFont="1" applyFill="1" applyBorder="1" applyAlignment="1">
      <alignment vertical="center"/>
    </xf>
    <xf numFmtId="0" fontId="9" fillId="2" borderId="0" xfId="0" applyFont="1" applyFill="1"/>
    <xf numFmtId="0" fontId="0" fillId="2" borderId="6" xfId="0" applyFill="1" applyBorder="1"/>
    <xf numFmtId="49" fontId="5" fillId="4" borderId="8" xfId="0" applyNumberFormat="1" applyFont="1" applyFill="1" applyBorder="1" applyAlignment="1">
      <alignment horizontal="center"/>
    </xf>
    <xf numFmtId="168" fontId="5" fillId="4" borderId="8" xfId="0" applyNumberFormat="1" applyFont="1" applyFill="1" applyBorder="1" applyAlignment="1">
      <alignment horizontal="center"/>
    </xf>
    <xf numFmtId="1" fontId="5" fillId="4" borderId="8" xfId="0" applyNumberFormat="1" applyFont="1" applyFill="1" applyBorder="1" applyAlignment="1">
      <alignment horizontal="right"/>
    </xf>
    <xf numFmtId="1" fontId="5" fillId="4" borderId="7" xfId="0" applyNumberFormat="1" applyFont="1" applyFill="1" applyBorder="1" applyAlignment="1">
      <alignment horizontal="right"/>
    </xf>
    <xf numFmtId="0" fontId="0" fillId="6" borderId="0" xfId="0" applyFill="1"/>
    <xf numFmtId="0" fontId="2" fillId="3" borderId="7" xfId="0" applyFont="1" applyFill="1" applyBorder="1" applyAlignment="1">
      <alignment horizontal="center"/>
    </xf>
    <xf numFmtId="0" fontId="6" fillId="6" borderId="21" xfId="0" applyFont="1" applyFill="1" applyBorder="1"/>
    <xf numFmtId="0" fontId="0" fillId="6" borderId="21" xfId="0" applyFill="1" applyBorder="1"/>
    <xf numFmtId="0" fontId="6" fillId="3" borderId="22" xfId="0" applyFont="1" applyFill="1" applyBorder="1"/>
    <xf numFmtId="164" fontId="5" fillId="4" borderId="22" xfId="0" applyNumberFormat="1" applyFont="1" applyFill="1" applyBorder="1" applyAlignment="1">
      <alignment horizontal="center"/>
    </xf>
    <xf numFmtId="0" fontId="0" fillId="0" borderId="23" xfId="0" applyBorder="1"/>
    <xf numFmtId="0" fontId="6" fillId="6" borderId="0" xfId="0" applyFont="1" applyFill="1" applyAlignment="1">
      <alignment horizontal="center"/>
    </xf>
    <xf numFmtId="0" fontId="6" fillId="6" borderId="0" xfId="0" applyFont="1" applyFill="1" applyAlignment="1">
      <alignment horizontal="left"/>
    </xf>
    <xf numFmtId="0" fontId="9" fillId="2" borderId="6" xfId="0" applyFont="1" applyFill="1" applyBorder="1" applyAlignment="1">
      <alignment horizontal="center"/>
    </xf>
    <xf numFmtId="0" fontId="9" fillId="2" borderId="0" xfId="0" applyFont="1" applyFill="1" applyAlignment="1">
      <alignment horizontal="left"/>
    </xf>
    <xf numFmtId="0" fontId="32" fillId="4" borderId="0" xfId="0" applyFont="1" applyFill="1" applyAlignment="1">
      <alignment wrapText="1"/>
    </xf>
    <xf numFmtId="0" fontId="0" fillId="0" borderId="0" xfId="0"/>
    <xf numFmtId="0" fontId="15" fillId="2" borderId="14" xfId="0" applyFont="1" applyFill="1" applyBorder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9" xfId="0" applyFont="1" applyFill="1" applyBorder="1" applyAlignment="1">
      <alignment horizontal="center" vertical="center"/>
    </xf>
    <xf numFmtId="0" fontId="14" fillId="2" borderId="12" xfId="0" applyFont="1" applyFill="1" applyBorder="1" applyAlignment="1">
      <alignment horizontal="center" vertical="center"/>
    </xf>
    <xf numFmtId="0" fontId="9" fillId="2" borderId="14" xfId="0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9" fillId="2" borderId="13" xfId="0" applyFont="1" applyFill="1" applyBorder="1" applyAlignment="1">
      <alignment horizontal="center" vertical="center"/>
    </xf>
    <xf numFmtId="0" fontId="16" fillId="7" borderId="12" xfId="0" applyFont="1" applyFill="1" applyBorder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9" fillId="2" borderId="11" xfId="0" applyFont="1" applyFill="1" applyBorder="1" applyAlignment="1">
      <alignment horizontal="center" vertical="center"/>
    </xf>
    <xf numFmtId="0" fontId="15" fillId="2" borderId="10" xfId="0" applyFont="1" applyFill="1" applyBorder="1" applyAlignment="1">
      <alignment horizontal="center" vertical="center"/>
    </xf>
    <xf numFmtId="0" fontId="15" fillId="2" borderId="12" xfId="0" applyFont="1" applyFill="1" applyBorder="1" applyAlignment="1">
      <alignment horizontal="center" vertical="center"/>
    </xf>
    <xf numFmtId="0" fontId="31" fillId="6" borderId="0" xfId="0" applyFont="1" applyFill="1" applyAlignment="1">
      <alignment horizontal="center" vertical="center"/>
    </xf>
    <xf numFmtId="0" fontId="31" fillId="6" borderId="12" xfId="0" applyFont="1" applyFill="1" applyBorder="1" applyAlignment="1">
      <alignment horizontal="center"/>
    </xf>
    <xf numFmtId="0" fontId="31" fillId="6" borderId="11" xfId="0" applyFont="1" applyFill="1" applyBorder="1" applyAlignment="1">
      <alignment horizontal="center"/>
    </xf>
    <xf numFmtId="0" fontId="31" fillId="6" borderId="0" xfId="0" applyFont="1" applyFill="1" applyAlignment="1">
      <alignment horizontal="center"/>
    </xf>
    <xf numFmtId="0" fontId="31" fillId="6" borderId="13" xfId="0" applyFont="1" applyFill="1" applyBorder="1" applyAlignment="1">
      <alignment horizontal="center"/>
    </xf>
    <xf numFmtId="0" fontId="17" fillId="2" borderId="0" xfId="0" applyFont="1" applyFill="1" applyAlignment="1">
      <alignment horizontal="center" vertical="center"/>
    </xf>
    <xf numFmtId="0" fontId="18" fillId="2" borderId="18" xfId="0" applyFont="1" applyFill="1" applyBorder="1" applyAlignment="1">
      <alignment vertical="center"/>
    </xf>
    <xf numFmtId="0" fontId="18" fillId="2" borderId="19" xfId="0" applyFont="1" applyFill="1" applyBorder="1" applyAlignment="1">
      <alignment vertical="center"/>
    </xf>
    <xf numFmtId="0" fontId="20" fillId="7" borderId="0" xfId="0" applyFont="1" applyFill="1" applyAlignment="1">
      <alignment vertical="center"/>
    </xf>
    <xf numFmtId="0" fontId="18" fillId="2" borderId="18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left" vertical="center"/>
    </xf>
    <xf numFmtId="0" fontId="10" fillId="3" borderId="7" xfId="0" applyFont="1" applyFill="1" applyBorder="1" applyAlignment="1">
      <alignment horizontal="left" vertical="center"/>
    </xf>
    <xf numFmtId="0" fontId="9" fillId="2" borderId="7" xfId="0" applyFont="1" applyFill="1" applyBorder="1" applyAlignment="1">
      <alignment horizontal="left" vertical="center"/>
    </xf>
    <xf numFmtId="0" fontId="11" fillId="6" borderId="7" xfId="0" applyFont="1" applyFill="1" applyBorder="1" applyAlignment="1">
      <alignment vertical="center"/>
    </xf>
    <xf numFmtId="0" fontId="10" fillId="5" borderId="7" xfId="0" applyFont="1" applyFill="1" applyBorder="1" applyAlignment="1">
      <alignment horizontal="center"/>
    </xf>
    <xf numFmtId="0" fontId="12" fillId="6" borderId="7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10" fillId="3" borderId="7" xfId="0" applyFont="1" applyFill="1" applyBorder="1" applyAlignment="1">
      <alignment vertical="center"/>
    </xf>
    <xf numFmtId="0" fontId="10" fillId="3" borderId="7" xfId="0" applyFont="1" applyFill="1" applyBorder="1" applyAlignment="1">
      <alignment vertical="top" wrapText="1"/>
    </xf>
    <xf numFmtId="0" fontId="10" fillId="3" borderId="8" xfId="0" applyFont="1" applyFill="1" applyBorder="1" applyAlignment="1">
      <alignment vertical="top" wrapText="1"/>
    </xf>
    <xf numFmtId="0" fontId="10" fillId="3" borderId="8" xfId="0" applyFont="1" applyFill="1" applyBorder="1" applyAlignment="1">
      <alignment horizontal="left" vertical="top" wrapText="1"/>
    </xf>
    <xf numFmtId="0" fontId="10" fillId="3" borderId="0" xfId="0" applyFont="1" applyFill="1" applyAlignment="1">
      <alignment horizontal="left" vertical="top" wrapText="1"/>
    </xf>
    <xf numFmtId="0" fontId="10" fillId="3" borderId="6" xfId="0" applyFont="1" applyFill="1" applyBorder="1" applyAlignment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1" fillId="0" borderId="2" xfId="0" applyFont="1" applyBorder="1" applyAlignment="1">
      <alignment horizontal="left" vertical="top" wrapText="1"/>
    </xf>
    <xf numFmtId="0" fontId="1" fillId="0" borderId="3" xfId="0" applyFont="1" applyBorder="1" applyAlignment="1">
      <alignment horizontal="left" vertical="top" wrapText="1"/>
    </xf>
    <xf numFmtId="0" fontId="1" fillId="0" borderId="5" xfId="0" applyFont="1" applyBorder="1" applyAlignment="1">
      <alignment horizontal="left" vertical="top" wrapText="1"/>
    </xf>
    <xf numFmtId="0" fontId="1" fillId="0" borderId="4" xfId="0" applyFont="1" applyBorder="1" applyAlignment="1">
      <alignment horizontal="left" vertical="top" wrapText="1"/>
    </xf>
  </cellXfs>
  <cellStyles count="2">
    <cellStyle name="Normal" xfId="0" builtinId="0"/>
    <cellStyle name="Percent" xfId="1" builtinId="5"/>
  </cellStyles>
  <dxfs count="19">
    <dxf>
      <font>
        <color rgb="FFC0C0C0"/>
      </font>
    </dxf>
    <dxf>
      <font>
        <color rgb="FFC0C0C0"/>
      </font>
    </dxf>
    <dxf>
      <font>
        <color rgb="FFC0C0C0"/>
      </font>
    </dxf>
    <dxf>
      <font>
        <color rgb="FFC0C0C0"/>
      </font>
    </dxf>
    <dxf>
      <font>
        <color rgb="FFC0C0C0"/>
      </font>
    </dxf>
    <dxf>
      <font>
        <color rgb="FFC0C0C0"/>
      </font>
    </dxf>
    <dxf>
      <font>
        <color rgb="FFC0C0C0"/>
      </font>
    </dxf>
    <dxf>
      <font>
        <color rgb="FFC0C0C0"/>
      </font>
    </dxf>
    <dxf>
      <font>
        <color rgb="FFC0C0C0"/>
      </font>
    </dxf>
    <dxf>
      <font>
        <color rgb="FFC0C0C0"/>
      </font>
    </dxf>
    <dxf>
      <font>
        <color rgb="FFC0C0C0"/>
      </font>
    </dxf>
    <dxf>
      <font>
        <color rgb="FFC0C0C0"/>
      </font>
    </dxf>
    <dxf>
      <font>
        <color rgb="FFC0C0C0"/>
      </font>
    </dxf>
    <dxf>
      <font>
        <color rgb="FFC0C0C0"/>
      </font>
    </dxf>
    <dxf>
      <font>
        <color rgb="FFC0C0C0"/>
      </font>
    </dxf>
    <dxf>
      <font>
        <color rgb="FFC0C0C0"/>
      </font>
    </dxf>
    <dxf>
      <font>
        <color rgb="FFC0C0C0"/>
      </font>
    </dxf>
    <dxf>
      <font>
        <color rgb="FFC0C0C0"/>
      </font>
    </dxf>
    <dxf>
      <font>
        <color rgb="FFC0C0C0"/>
      </font>
    </dxf>
  </dxfs>
  <tableStyles count="0" defaultTableStyle="TableStyleMedium2" defaultPivotStyle="PivotStyleLight16"/>
  <colors>
    <mruColors>
      <color rgb="FFFF44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>
                <a:latin typeface="Bookman Old Style"/>
                <a:ea typeface="Bookman Old Style"/>
                <a:cs typeface="Bookman Old Style"/>
              </a:defRPr>
            </a:pPr>
            <a:r>
              <a:rPr lang="en-AU"/>
              <a:t>Sandisk Corporation - Cash Proxy DCF IVPS (10000 iter)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 %</c:v>
          </c:tx>
          <c:spPr>
            <a:solidFill>
              <a:srgbClr val="1F4E79"/>
            </a:solidFill>
          </c:spPr>
          <c:invertIfNegative val="0"/>
          <c:cat>
            <c:numRef>
              <c:f>MC_Histogram!$B$5:$B$54</c:f>
              <c:numCache>
                <c:formatCode>"$"#,##0</c:formatCode>
                <c:ptCount val="50"/>
                <c:pt idx="0">
                  <c:v>728.94228124943925</c:v>
                </c:pt>
                <c:pt idx="1">
                  <c:v>790.62580471383353</c:v>
                </c:pt>
                <c:pt idx="2">
                  <c:v>852.30932817822759</c:v>
                </c:pt>
                <c:pt idx="3">
                  <c:v>913.99285164262187</c:v>
                </c:pt>
                <c:pt idx="4">
                  <c:v>975.67637510701593</c:v>
                </c:pt>
                <c:pt idx="5">
                  <c:v>1037.3598985714102</c:v>
                </c:pt>
                <c:pt idx="6">
                  <c:v>1099.0434220358043</c:v>
                </c:pt>
                <c:pt idx="7">
                  <c:v>1160.7269455001983</c:v>
                </c:pt>
                <c:pt idx="8">
                  <c:v>1222.4104689645926</c:v>
                </c:pt>
                <c:pt idx="9">
                  <c:v>1284.0939924289867</c:v>
                </c:pt>
                <c:pt idx="10">
                  <c:v>1345.777515893381</c:v>
                </c:pt>
                <c:pt idx="11">
                  <c:v>1407.461039357775</c:v>
                </c:pt>
                <c:pt idx="12">
                  <c:v>1469.1445628221693</c:v>
                </c:pt>
                <c:pt idx="13">
                  <c:v>1530.8280862865633</c:v>
                </c:pt>
                <c:pt idx="14">
                  <c:v>1592.5116097509576</c:v>
                </c:pt>
                <c:pt idx="15">
                  <c:v>1654.1951332153517</c:v>
                </c:pt>
                <c:pt idx="16">
                  <c:v>1715.8786566797457</c:v>
                </c:pt>
                <c:pt idx="17">
                  <c:v>1777.56218014414</c:v>
                </c:pt>
                <c:pt idx="18">
                  <c:v>1839.2457036085341</c:v>
                </c:pt>
                <c:pt idx="19">
                  <c:v>1900.9292270729284</c:v>
                </c:pt>
                <c:pt idx="20">
                  <c:v>1962.6127505373224</c:v>
                </c:pt>
                <c:pt idx="21">
                  <c:v>2024.2962740017169</c:v>
                </c:pt>
                <c:pt idx="22">
                  <c:v>2085.979797466111</c:v>
                </c:pt>
                <c:pt idx="23">
                  <c:v>2147.6633209305051</c:v>
                </c:pt>
                <c:pt idx="24">
                  <c:v>2209.3468443948991</c:v>
                </c:pt>
                <c:pt idx="25">
                  <c:v>2271.0303678592932</c:v>
                </c:pt>
                <c:pt idx="26">
                  <c:v>2332.7138913236877</c:v>
                </c:pt>
                <c:pt idx="27">
                  <c:v>2394.3974147880817</c:v>
                </c:pt>
                <c:pt idx="28">
                  <c:v>2456.0809382524758</c:v>
                </c:pt>
                <c:pt idx="29">
                  <c:v>2517.7644617168698</c:v>
                </c:pt>
                <c:pt idx="30">
                  <c:v>2579.4479851812644</c:v>
                </c:pt>
                <c:pt idx="31">
                  <c:v>2641.1315086456584</c:v>
                </c:pt>
                <c:pt idx="32">
                  <c:v>2702.8150321100525</c:v>
                </c:pt>
                <c:pt idx="33">
                  <c:v>2764.4985555744465</c:v>
                </c:pt>
                <c:pt idx="34">
                  <c:v>2826.1820790388406</c:v>
                </c:pt>
                <c:pt idx="35">
                  <c:v>2887.8656025032351</c:v>
                </c:pt>
                <c:pt idx="36">
                  <c:v>2949.5491259676292</c:v>
                </c:pt>
                <c:pt idx="37">
                  <c:v>3011.2326494320232</c:v>
                </c:pt>
                <c:pt idx="38">
                  <c:v>3072.9161728964173</c:v>
                </c:pt>
                <c:pt idx="39">
                  <c:v>3134.5996963608118</c:v>
                </c:pt>
                <c:pt idx="40">
                  <c:v>3196.2832198252058</c:v>
                </c:pt>
                <c:pt idx="41">
                  <c:v>3257.9667432895999</c:v>
                </c:pt>
                <c:pt idx="42">
                  <c:v>3319.6502667539939</c:v>
                </c:pt>
                <c:pt idx="43">
                  <c:v>3381.3337902183885</c:v>
                </c:pt>
                <c:pt idx="44">
                  <c:v>3443.0173136827825</c:v>
                </c:pt>
                <c:pt idx="45">
                  <c:v>3504.7008371471766</c:v>
                </c:pt>
                <c:pt idx="46">
                  <c:v>3566.3843606115706</c:v>
                </c:pt>
                <c:pt idx="47">
                  <c:v>3628.0678840759651</c:v>
                </c:pt>
                <c:pt idx="48">
                  <c:v>3689.7514075403592</c:v>
                </c:pt>
                <c:pt idx="49">
                  <c:v>3751.4349310047533</c:v>
                </c:pt>
              </c:numCache>
            </c:numRef>
          </c:cat>
          <c:val>
            <c:numRef>
              <c:f>MC_Histogram!$D$5:$D$54</c:f>
              <c:numCache>
                <c:formatCode>0.00%</c:formatCode>
                <c:ptCount val="50"/>
                <c:pt idx="0">
                  <c:v>1.9900000000000001E-2</c:v>
                </c:pt>
                <c:pt idx="1">
                  <c:v>1.67E-2</c:v>
                </c:pt>
                <c:pt idx="2">
                  <c:v>2.1600000000000001E-2</c:v>
                </c:pt>
                <c:pt idx="3">
                  <c:v>3.0599999999999999E-2</c:v>
                </c:pt>
                <c:pt idx="4">
                  <c:v>3.56E-2</c:v>
                </c:pt>
                <c:pt idx="5">
                  <c:v>4.3799999999999999E-2</c:v>
                </c:pt>
                <c:pt idx="6">
                  <c:v>4.7600000000000003E-2</c:v>
                </c:pt>
                <c:pt idx="7">
                  <c:v>4.6300000000000001E-2</c:v>
                </c:pt>
                <c:pt idx="8">
                  <c:v>4.8300000000000003E-2</c:v>
                </c:pt>
                <c:pt idx="9">
                  <c:v>4.7800000000000002E-2</c:v>
                </c:pt>
                <c:pt idx="10">
                  <c:v>4.7300000000000002E-2</c:v>
                </c:pt>
                <c:pt idx="11">
                  <c:v>5.2900000000000003E-2</c:v>
                </c:pt>
                <c:pt idx="12">
                  <c:v>4.5100000000000001E-2</c:v>
                </c:pt>
                <c:pt idx="13">
                  <c:v>4.5600000000000002E-2</c:v>
                </c:pt>
                <c:pt idx="14">
                  <c:v>4.2999999999999997E-2</c:v>
                </c:pt>
                <c:pt idx="15">
                  <c:v>3.9699999999999999E-2</c:v>
                </c:pt>
                <c:pt idx="16">
                  <c:v>3.3300000000000003E-2</c:v>
                </c:pt>
                <c:pt idx="17">
                  <c:v>3.27E-2</c:v>
                </c:pt>
                <c:pt idx="18">
                  <c:v>2.8799999999999999E-2</c:v>
                </c:pt>
                <c:pt idx="19">
                  <c:v>3.15E-2</c:v>
                </c:pt>
                <c:pt idx="20">
                  <c:v>2.3E-2</c:v>
                </c:pt>
                <c:pt idx="21">
                  <c:v>2.2700000000000001E-2</c:v>
                </c:pt>
                <c:pt idx="22">
                  <c:v>2.06E-2</c:v>
                </c:pt>
                <c:pt idx="23">
                  <c:v>1.8599999999999998E-2</c:v>
                </c:pt>
                <c:pt idx="24">
                  <c:v>1.7399999999999999E-2</c:v>
                </c:pt>
                <c:pt idx="25">
                  <c:v>1.41E-2</c:v>
                </c:pt>
                <c:pt idx="26">
                  <c:v>1.43E-2</c:v>
                </c:pt>
                <c:pt idx="27">
                  <c:v>1.2200000000000001E-2</c:v>
                </c:pt>
                <c:pt idx="28">
                  <c:v>1.09E-2</c:v>
                </c:pt>
                <c:pt idx="29">
                  <c:v>8.9999999999999993E-3</c:v>
                </c:pt>
                <c:pt idx="30">
                  <c:v>9.4000000000000004E-3</c:v>
                </c:pt>
                <c:pt idx="31">
                  <c:v>7.7000000000000002E-3</c:v>
                </c:pt>
                <c:pt idx="32">
                  <c:v>4.8999999999999998E-3</c:v>
                </c:pt>
                <c:pt idx="33">
                  <c:v>5.1000000000000004E-3</c:v>
                </c:pt>
                <c:pt idx="34">
                  <c:v>5.0000000000000001E-3</c:v>
                </c:pt>
                <c:pt idx="35">
                  <c:v>4.7000000000000002E-3</c:v>
                </c:pt>
                <c:pt idx="36">
                  <c:v>4.1000000000000003E-3</c:v>
                </c:pt>
                <c:pt idx="37">
                  <c:v>3.5999999999999999E-3</c:v>
                </c:pt>
                <c:pt idx="38">
                  <c:v>3.3E-3</c:v>
                </c:pt>
                <c:pt idx="39">
                  <c:v>3.0999999999999999E-3</c:v>
                </c:pt>
                <c:pt idx="40">
                  <c:v>2.8E-3</c:v>
                </c:pt>
                <c:pt idx="41">
                  <c:v>2.5000000000000001E-3</c:v>
                </c:pt>
                <c:pt idx="42">
                  <c:v>2.0999999999999999E-3</c:v>
                </c:pt>
                <c:pt idx="43">
                  <c:v>1.9E-3</c:v>
                </c:pt>
                <c:pt idx="44">
                  <c:v>2.0999999999999999E-3</c:v>
                </c:pt>
                <c:pt idx="45">
                  <c:v>2.2000000000000001E-3</c:v>
                </c:pt>
                <c:pt idx="46">
                  <c:v>1.1999999999999999E-3</c:v>
                </c:pt>
                <c:pt idx="47">
                  <c:v>8.9999999999999998E-4</c:v>
                </c:pt>
                <c:pt idx="48">
                  <c:v>1.1999999999999999E-3</c:v>
                </c:pt>
                <c:pt idx="49">
                  <c:v>1.1299999999999999E-2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35-4C5E-ADF9-BF0547973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39540463"/>
        <c:axId val="939530383"/>
      </c:barChart>
      <c:catAx>
        <c:axId val="9395404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Bookman Old Style"/>
                    <a:ea typeface="Bookman Old Style"/>
                    <a:cs typeface="Bookman Old Style"/>
                  </a:defRPr>
                </a:pPr>
                <a:r>
                  <a:rPr lang="en-AU"/>
                  <a:t>Intrinsic Value Per Share ($)</a:t>
                </a:r>
              </a:p>
            </c:rich>
          </c:tx>
          <c:overlay val="0"/>
        </c:title>
        <c:numFmt formatCode="&quot;$&quot;#,##0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Bookman Old Style"/>
                <a:ea typeface="Bookman Old Style"/>
                <a:cs typeface="Bookman Old Style"/>
              </a:defRPr>
            </a:pPr>
            <a:endParaRPr lang="en-US"/>
          </a:p>
        </c:txPr>
        <c:crossAx val="939530383"/>
        <c:crosses val="autoZero"/>
        <c:auto val="1"/>
        <c:lblAlgn val="ctr"/>
        <c:lblOffset val="100"/>
        <c:tickLblSkip val="5"/>
        <c:noMultiLvlLbl val="0"/>
      </c:catAx>
      <c:valAx>
        <c:axId val="93953038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Bookman Old Style"/>
                    <a:ea typeface="Bookman Old Style"/>
                    <a:cs typeface="Bookman Old Style"/>
                  </a:defRPr>
                </a:pPr>
                <a:r>
                  <a:rPr lang="en-AU"/>
                  <a:t>Frequency %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Bookman Old Style"/>
                <a:ea typeface="Bookman Old Style"/>
                <a:cs typeface="Bookman Old Style"/>
              </a:defRPr>
            </a:pPr>
            <a:endParaRPr lang="en-US"/>
          </a:p>
        </c:txPr>
        <c:crossAx val="939540463"/>
        <c:crosses val="autoZero"/>
        <c:crossBetween val="between"/>
      </c:valAx>
      <c:spPr>
        <a:solidFill>
          <a:srgbClr val="F2F2F2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247650</xdr:colOff>
      <xdr:row>7</xdr:row>
      <xdr:rowOff>9525</xdr:rowOff>
    </xdr:from>
    <xdr:to>
      <xdr:col>6</xdr:col>
      <xdr:colOff>466726</xdr:colOff>
      <xdr:row>10</xdr:row>
      <xdr:rowOff>1</xdr:rowOff>
    </xdr:to>
    <xdr:pic macro="[0]!RunAll">
      <xdr:nvPicPr>
        <xdr:cNvPr id="9" name="Picture 8">
          <a:extLst>
            <a:ext uri="{FF2B5EF4-FFF2-40B4-BE49-F238E27FC236}">
              <a16:creationId xmlns:a16="http://schemas.microsoft.com/office/drawing/2014/main" id="{8AE01C67-134C-E590-4709-D5E8B1C2D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8925" y="2238375"/>
          <a:ext cx="933451" cy="933451"/>
        </a:xfrm>
        <a:prstGeom prst="rect">
          <a:avLst/>
        </a:prstGeom>
      </xdr:spPr>
    </xdr:pic>
    <xdr:clientData/>
  </xdr:twoCellAnchor>
  <xdr:twoCellAnchor editAs="oneCell">
    <xdr:from>
      <xdr:col>5</xdr:col>
      <xdr:colOff>247650</xdr:colOff>
      <xdr:row>10</xdr:row>
      <xdr:rowOff>19050</xdr:rowOff>
    </xdr:from>
    <xdr:to>
      <xdr:col>6</xdr:col>
      <xdr:colOff>466726</xdr:colOff>
      <xdr:row>13</xdr:row>
      <xdr:rowOff>9526</xdr:rowOff>
    </xdr:to>
    <xdr:pic macro="[0]!RunEverything">
      <xdr:nvPicPr>
        <xdr:cNvPr id="10" name="Picture 9">
          <a:extLst>
            <a:ext uri="{FF2B5EF4-FFF2-40B4-BE49-F238E27FC236}">
              <a16:creationId xmlns:a16="http://schemas.microsoft.com/office/drawing/2014/main" id="{BC0C4C49-3BFB-46CA-99EC-306B4167E6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8925" y="3190875"/>
          <a:ext cx="933451" cy="933451"/>
        </a:xfrm>
        <a:prstGeom prst="rect">
          <a:avLst/>
        </a:prstGeom>
      </xdr:spPr>
    </xdr:pic>
    <xdr:clientData/>
  </xdr:twoCellAnchor>
  <xdr:twoCellAnchor editAs="oneCell">
    <xdr:from>
      <xdr:col>5</xdr:col>
      <xdr:colOff>247650</xdr:colOff>
      <xdr:row>13</xdr:row>
      <xdr:rowOff>28575</xdr:rowOff>
    </xdr:from>
    <xdr:to>
      <xdr:col>6</xdr:col>
      <xdr:colOff>466726</xdr:colOff>
      <xdr:row>16</xdr:row>
      <xdr:rowOff>19051</xdr:rowOff>
    </xdr:to>
    <xdr:pic macro="[0]!RunFinancialsOnly">
      <xdr:nvPicPr>
        <xdr:cNvPr id="11" name="Picture 10">
          <a:extLst>
            <a:ext uri="{FF2B5EF4-FFF2-40B4-BE49-F238E27FC236}">
              <a16:creationId xmlns:a16="http://schemas.microsoft.com/office/drawing/2014/main" id="{A49329F0-D546-4FCC-80DF-140FD055AD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8925" y="4143375"/>
          <a:ext cx="933451" cy="933451"/>
        </a:xfrm>
        <a:prstGeom prst="rect">
          <a:avLst/>
        </a:prstGeom>
      </xdr:spPr>
    </xdr:pic>
    <xdr:clientData/>
  </xdr:twoCellAnchor>
  <xdr:twoCellAnchor editAs="oneCell">
    <xdr:from>
      <xdr:col>5</xdr:col>
      <xdr:colOff>247650</xdr:colOff>
      <xdr:row>16</xdr:row>
      <xdr:rowOff>38100</xdr:rowOff>
    </xdr:from>
    <xdr:to>
      <xdr:col>6</xdr:col>
      <xdr:colOff>466726</xdr:colOff>
      <xdr:row>19</xdr:row>
      <xdr:rowOff>28576</xdr:rowOff>
    </xdr:to>
    <xdr:pic macro="[0]!RunValuationOnly">
      <xdr:nvPicPr>
        <xdr:cNvPr id="12" name="Picture 11">
          <a:extLst>
            <a:ext uri="{FF2B5EF4-FFF2-40B4-BE49-F238E27FC236}">
              <a16:creationId xmlns:a16="http://schemas.microsoft.com/office/drawing/2014/main" id="{72E92944-D7C1-4578-B903-9864E86F2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8925" y="5095875"/>
          <a:ext cx="933451" cy="933451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7</xdr:row>
      <xdr:rowOff>9525</xdr:rowOff>
    </xdr:from>
    <xdr:to>
      <xdr:col>12</xdr:col>
      <xdr:colOff>466726</xdr:colOff>
      <xdr:row>10</xdr:row>
      <xdr:rowOff>1</xdr:rowOff>
    </xdr:to>
    <xdr:pic macro="[0]!RunScenariosOnly">
      <xdr:nvPicPr>
        <xdr:cNvPr id="17" name="Picture 16">
          <a:extLst>
            <a:ext uri="{FF2B5EF4-FFF2-40B4-BE49-F238E27FC236}">
              <a16:creationId xmlns:a16="http://schemas.microsoft.com/office/drawing/2014/main" id="{5C58535D-9755-4844-A7A3-214E1EB292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5175" y="2238375"/>
          <a:ext cx="933451" cy="933451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10</xdr:row>
      <xdr:rowOff>19050</xdr:rowOff>
    </xdr:from>
    <xdr:to>
      <xdr:col>12</xdr:col>
      <xdr:colOff>466726</xdr:colOff>
      <xdr:row>13</xdr:row>
      <xdr:rowOff>9526</xdr:rowOff>
    </xdr:to>
    <xdr:pic macro="[0]!RunMonteCarloOnly">
      <xdr:nvPicPr>
        <xdr:cNvPr id="18" name="Picture 17">
          <a:extLst>
            <a:ext uri="{FF2B5EF4-FFF2-40B4-BE49-F238E27FC236}">
              <a16:creationId xmlns:a16="http://schemas.microsoft.com/office/drawing/2014/main" id="{3DB417A7-8C75-4D50-906D-585B3365D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5175" y="3190875"/>
          <a:ext cx="933451" cy="933451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13</xdr:row>
      <xdr:rowOff>28575</xdr:rowOff>
    </xdr:from>
    <xdr:to>
      <xdr:col>12</xdr:col>
      <xdr:colOff>466726</xdr:colOff>
      <xdr:row>16</xdr:row>
      <xdr:rowOff>19051</xdr:rowOff>
    </xdr:to>
    <xdr:pic macro="[0]!ClearAllOutputs">
      <xdr:nvPicPr>
        <xdr:cNvPr id="19" name="Picture 18">
          <a:extLst>
            <a:ext uri="{FF2B5EF4-FFF2-40B4-BE49-F238E27FC236}">
              <a16:creationId xmlns:a16="http://schemas.microsoft.com/office/drawing/2014/main" id="{038925B6-0FB1-45D9-811B-E7FE74119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5175" y="4143375"/>
          <a:ext cx="933451" cy="933451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16</xdr:row>
      <xdr:rowOff>38100</xdr:rowOff>
    </xdr:from>
    <xdr:to>
      <xdr:col>12</xdr:col>
      <xdr:colOff>466726</xdr:colOff>
      <xdr:row>19</xdr:row>
      <xdr:rowOff>28576</xdr:rowOff>
    </xdr:to>
    <xdr:pic macro="[0]!ExportAllVbaComponents_Debug">
      <xdr:nvPicPr>
        <xdr:cNvPr id="20" name="Picture 19">
          <a:extLst>
            <a:ext uri="{FF2B5EF4-FFF2-40B4-BE49-F238E27FC236}">
              <a16:creationId xmlns:a16="http://schemas.microsoft.com/office/drawing/2014/main" id="{32246A8C-B7BE-4968-A61E-B74337DDAA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5175" y="5095875"/>
          <a:ext cx="933451" cy="933451"/>
        </a:xfrm>
        <a:prstGeom prst="rect">
          <a:avLst/>
        </a:prstGeom>
      </xdr:spPr>
    </xdr:pic>
    <xdr:clientData/>
  </xdr:twoCellAnchor>
  <xdr:twoCellAnchor editAs="oneCell">
    <xdr:from>
      <xdr:col>16</xdr:col>
      <xdr:colOff>3543300</xdr:colOff>
      <xdr:row>9</xdr:row>
      <xdr:rowOff>15875</xdr:rowOff>
    </xdr:from>
    <xdr:to>
      <xdr:col>17</xdr:col>
      <xdr:colOff>609601</xdr:colOff>
      <xdr:row>12</xdr:row>
      <xdr:rowOff>6351</xdr:rowOff>
    </xdr:to>
    <xdr:pic macro="[0]!Assumptions_Go_To">
      <xdr:nvPicPr>
        <xdr:cNvPr id="21" name="Picture 20">
          <a:extLst>
            <a:ext uri="{FF2B5EF4-FFF2-40B4-BE49-F238E27FC236}">
              <a16:creationId xmlns:a16="http://schemas.microsoft.com/office/drawing/2014/main" id="{A67425F7-63C5-440E-A47B-FF342134E3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2825" y="2873375"/>
          <a:ext cx="933451" cy="933451"/>
        </a:xfrm>
        <a:prstGeom prst="rect">
          <a:avLst/>
        </a:prstGeom>
      </xdr:spPr>
    </xdr:pic>
    <xdr:clientData/>
  </xdr:twoCellAnchor>
  <xdr:twoCellAnchor editAs="oneCell">
    <xdr:from>
      <xdr:col>16</xdr:col>
      <xdr:colOff>3543300</xdr:colOff>
      <xdr:row>11</xdr:row>
      <xdr:rowOff>22225</xdr:rowOff>
    </xdr:from>
    <xdr:to>
      <xdr:col>17</xdr:col>
      <xdr:colOff>609601</xdr:colOff>
      <xdr:row>14</xdr:row>
      <xdr:rowOff>12701</xdr:rowOff>
    </xdr:to>
    <xdr:pic macro="[0]!Qualatative_Go_To">
      <xdr:nvPicPr>
        <xdr:cNvPr id="22" name="Picture 21">
          <a:extLst>
            <a:ext uri="{FF2B5EF4-FFF2-40B4-BE49-F238E27FC236}">
              <a16:creationId xmlns:a16="http://schemas.microsoft.com/office/drawing/2014/main" id="{F4E4F858-ABB7-43CB-A974-DE01F02BD3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2825" y="3508375"/>
          <a:ext cx="933451" cy="93345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502582</xdr:colOff>
      <xdr:row>1</xdr:row>
      <xdr:rowOff>156883</xdr:rowOff>
    </xdr:from>
    <xdr:to>
      <xdr:col>24</xdr:col>
      <xdr:colOff>99222</xdr:colOff>
      <xdr:row>4</xdr:row>
      <xdr:rowOff>44160</xdr:rowOff>
    </xdr:to>
    <xdr:sp macro="[0]!DeleteNotes" textlink="">
      <xdr:nvSpPr>
        <xdr:cNvPr id="2" name="Oval 1">
          <a:extLst>
            <a:ext uri="{FF2B5EF4-FFF2-40B4-BE49-F238E27FC236}">
              <a16:creationId xmlns:a16="http://schemas.microsoft.com/office/drawing/2014/main" id="{95D16E0E-641A-254C-5313-6E2FCE1741DF}"/>
            </a:ext>
          </a:extLst>
        </xdr:cNvPr>
        <xdr:cNvSpPr/>
      </xdr:nvSpPr>
      <xdr:spPr>
        <a:xfrm>
          <a:off x="21188641" y="392207"/>
          <a:ext cx="806875" cy="5036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100">
              <a:latin typeface="Bookman Old Style" panose="02050604050505020204" pitchFamily="18" charset="0"/>
            </a:rPr>
            <a:t>Delete</a:t>
          </a:r>
          <a:r>
            <a:rPr lang="en-AU" sz="1100" baseline="0">
              <a:latin typeface="Bookman Old Style" panose="02050604050505020204" pitchFamily="18" charset="0"/>
            </a:rPr>
            <a:t> Notes</a:t>
          </a:r>
        </a:p>
        <a:p>
          <a:pPr algn="l"/>
          <a:endParaRPr lang="en-AU" sz="1100"/>
        </a:p>
      </xdr:txBody>
    </xdr:sp>
    <xdr:clientData/>
  </xdr:twoCellAnchor>
  <xdr:twoCellAnchor>
    <xdr:from>
      <xdr:col>22</xdr:col>
      <xdr:colOff>351863</xdr:colOff>
      <xdr:row>5</xdr:row>
      <xdr:rowOff>163608</xdr:rowOff>
    </xdr:from>
    <xdr:to>
      <xdr:col>24</xdr:col>
      <xdr:colOff>179293</xdr:colOff>
      <xdr:row>8</xdr:row>
      <xdr:rowOff>78442</xdr:rowOff>
    </xdr:to>
    <xdr:sp macro="[0]!RestoreNotes" textlink="">
      <xdr:nvSpPr>
        <xdr:cNvPr id="3" name="Oval 2">
          <a:extLst>
            <a:ext uri="{FF2B5EF4-FFF2-40B4-BE49-F238E27FC236}">
              <a16:creationId xmlns:a16="http://schemas.microsoft.com/office/drawing/2014/main" id="{ADC98390-CEF2-4AD7-ACD1-0840CB853EBE}"/>
            </a:ext>
          </a:extLst>
        </xdr:cNvPr>
        <xdr:cNvSpPr/>
      </xdr:nvSpPr>
      <xdr:spPr>
        <a:xfrm>
          <a:off x="21037922" y="1216961"/>
          <a:ext cx="1037665" cy="519952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100">
              <a:latin typeface="Bookman Old Style" panose="02050604050505020204" pitchFamily="18" charset="0"/>
            </a:rPr>
            <a:t>Restore Prev Notes</a:t>
          </a:r>
        </a:p>
        <a:p>
          <a:pPr algn="l"/>
          <a:endParaRPr lang="en-AU" sz="1100">
            <a:latin typeface="Bookman Old Style" panose="02050604050505020204" pitchFamily="18" charset="0"/>
          </a:endParaRPr>
        </a:p>
      </xdr:txBody>
    </xdr:sp>
    <xdr:clientData/>
  </xdr:twoCellAnchor>
  <xdr:twoCellAnchor>
    <xdr:from>
      <xdr:col>21</xdr:col>
      <xdr:colOff>123264</xdr:colOff>
      <xdr:row>18</xdr:row>
      <xdr:rowOff>168088</xdr:rowOff>
    </xdr:from>
    <xdr:to>
      <xdr:col>21</xdr:col>
      <xdr:colOff>515471</xdr:colOff>
      <xdr:row>19</xdr:row>
      <xdr:rowOff>191060</xdr:rowOff>
    </xdr:to>
    <xdr:sp macro="[0]!OpenDistributionGuide" textlink="">
      <xdr:nvSpPr>
        <xdr:cNvPr id="4" name="Star: 5 Points 3">
          <a:extLst>
            <a:ext uri="{FF2B5EF4-FFF2-40B4-BE49-F238E27FC236}">
              <a16:creationId xmlns:a16="http://schemas.microsoft.com/office/drawing/2014/main" id="{91A48EA3-F431-FDB2-4A3A-3278C0A04BAD}"/>
            </a:ext>
          </a:extLst>
        </xdr:cNvPr>
        <xdr:cNvSpPr/>
      </xdr:nvSpPr>
      <xdr:spPr>
        <a:xfrm>
          <a:off x="20204205" y="3866029"/>
          <a:ext cx="392207" cy="224678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22</xdr:col>
      <xdr:colOff>463922</xdr:colOff>
      <xdr:row>9</xdr:row>
      <xdr:rowOff>145677</xdr:rowOff>
    </xdr:from>
    <xdr:to>
      <xdr:col>24</xdr:col>
      <xdr:colOff>31987</xdr:colOff>
      <xdr:row>12</xdr:row>
      <xdr:rowOff>32952</xdr:rowOff>
    </xdr:to>
    <xdr:sp macro="[0]!ToggleAssetHeavyMode" textlink="">
      <xdr:nvSpPr>
        <xdr:cNvPr id="5" name="Oval 4">
          <a:extLst>
            <a:ext uri="{FF2B5EF4-FFF2-40B4-BE49-F238E27FC236}">
              <a16:creationId xmlns:a16="http://schemas.microsoft.com/office/drawing/2014/main" id="{F2F7FD18-B4BB-4667-87F5-3550F1DA8A93}"/>
            </a:ext>
          </a:extLst>
        </xdr:cNvPr>
        <xdr:cNvSpPr/>
      </xdr:nvSpPr>
      <xdr:spPr>
        <a:xfrm>
          <a:off x="21149981" y="2005853"/>
          <a:ext cx="778300" cy="503599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100">
              <a:latin typeface="Bookman Old Style" panose="02050604050505020204" pitchFamily="18" charset="0"/>
            </a:rPr>
            <a:t>Asset Heavy Mode</a:t>
          </a:r>
        </a:p>
        <a:p>
          <a:pPr algn="ctr"/>
          <a:endParaRPr lang="en-AU" sz="1100" baseline="0">
            <a:latin typeface="Bookman Old Style" panose="02050604050505020204" pitchFamily="18" charset="0"/>
          </a:endParaRPr>
        </a:p>
        <a:p>
          <a:pPr algn="l"/>
          <a:endParaRPr lang="en-AU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596900</xdr:colOff>
      <xdr:row>1</xdr:row>
      <xdr:rowOff>82550</xdr:rowOff>
    </xdr:from>
    <xdr:to>
      <xdr:col>19</xdr:col>
      <xdr:colOff>317500</xdr:colOff>
      <xdr:row>18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99B1BF-3383-2DDF-36E8-88BB0F5FEC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9524</xdr:colOff>
      <xdr:row>1</xdr:row>
      <xdr:rowOff>114301</xdr:rowOff>
    </xdr:from>
    <xdr:to>
      <xdr:col>13</xdr:col>
      <xdr:colOff>410922</xdr:colOff>
      <xdr:row>15</xdr:row>
      <xdr:rowOff>190753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666A0B5-827F-59F6-A4C6-83B0F0F082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58424" y="352426"/>
          <a:ext cx="6564073" cy="3010152"/>
        </a:xfrm>
        <a:prstGeom prst="rect">
          <a:avLst/>
        </a:prstGeom>
      </xdr:spPr>
    </xdr:pic>
    <xdr:clientData/>
  </xdr:twoCellAnchor>
  <xdr:twoCellAnchor editAs="oneCell">
    <xdr:from>
      <xdr:col>11</xdr:col>
      <xdr:colOff>495300</xdr:colOff>
      <xdr:row>15</xdr:row>
      <xdr:rowOff>171450</xdr:rowOff>
    </xdr:from>
    <xdr:to>
      <xdr:col>12</xdr:col>
      <xdr:colOff>819151</xdr:colOff>
      <xdr:row>19</xdr:row>
      <xdr:rowOff>123826</xdr:rowOff>
    </xdr:to>
    <xdr:pic macro="[0]!Assumptions_Go_To">
      <xdr:nvPicPr>
        <xdr:cNvPr id="6" name="Picture 5">
          <a:extLst>
            <a:ext uri="{FF2B5EF4-FFF2-40B4-BE49-F238E27FC236}">
              <a16:creationId xmlns:a16="http://schemas.microsoft.com/office/drawing/2014/main" id="{80AE0EB0-A6AF-4935-8EE7-50ACA7048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20100" y="4933950"/>
          <a:ext cx="933451" cy="933451"/>
        </a:xfrm>
        <a:prstGeom prst="rect">
          <a:avLst/>
        </a:prstGeom>
      </xdr:spPr>
    </xdr:pic>
    <xdr:clientData/>
  </xdr:twoCellAnchor>
  <xdr:twoCellAnchor editAs="oneCell">
    <xdr:from>
      <xdr:col>11</xdr:col>
      <xdr:colOff>504825</xdr:colOff>
      <xdr:row>18</xdr:row>
      <xdr:rowOff>152400</xdr:rowOff>
    </xdr:from>
    <xdr:to>
      <xdr:col>12</xdr:col>
      <xdr:colOff>828676</xdr:colOff>
      <xdr:row>22</xdr:row>
      <xdr:rowOff>95251</xdr:rowOff>
    </xdr:to>
    <xdr:pic macro="[0]!Dashboard_Go_To">
      <xdr:nvPicPr>
        <xdr:cNvPr id="7" name="Picture 6">
          <a:extLst>
            <a:ext uri="{FF2B5EF4-FFF2-40B4-BE49-F238E27FC236}">
              <a16:creationId xmlns:a16="http://schemas.microsoft.com/office/drawing/2014/main" id="{CFDAAE74-9D08-4EE7-B1D2-3CE0345521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29625" y="5781675"/>
          <a:ext cx="933451" cy="933451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ishi Gupta" id="{3C569C3E-313C-44BA-A809-7FA1908ECEB3}" userId="93f1c90760e8cb58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1" dT="2026-03-07T08:16:20.69" personId="{3C569C3E-313C-44BA-A809-7FA1908ECEB3}" id="{5FDC6E4F-1BA1-41EF-9A7D-7B9122B0ADC2}">
    <text>All + Monte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8FD2681-72F1-4CEF-8A96-F32984075905}">
  <we:reference id="wa200009404" version="1.0.0.8" store="en-US" storeType="OMEX"/>
  <we:alternateReferences>
    <we:reference id="wa200009404" version="1.0.0.8" store="en-US" storeType="OMEX"/>
  </we:alternateReferences>
  <we:properties>
    <we:property name="claude.fileId" value="&quot;8a7fcb69-8800-49bc-b57c-ff6542e7b9e9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DACAF-A03D-48C9-8BCC-3AFE0459E855}">
  <sheetPr codeName="Sheet8"/>
  <dimension ref="A1:R30"/>
  <sheetViews>
    <sheetView showGridLines="0" zoomScaleNormal="100" workbookViewId="0">
      <selection activeCell="H9" sqref="H9"/>
    </sheetView>
  </sheetViews>
  <sheetFormatPr defaultRowHeight="15" x14ac:dyDescent="0.25"/>
  <cols>
    <col min="1" max="2" width="3.28515625" customWidth="1"/>
    <col min="3" max="13" width="10.7109375" customWidth="1"/>
    <col min="14" max="14" width="5.7109375" customWidth="1"/>
    <col min="15" max="15" width="24.28515625" customWidth="1"/>
    <col min="16" max="16" width="17.140625" customWidth="1"/>
    <col min="17" max="17" width="58" customWidth="1"/>
    <col min="18" max="18" width="21.28515625" bestFit="1" customWidth="1"/>
  </cols>
  <sheetData>
    <row r="1" spans="1:18" ht="15.75" thickBot="1" x14ac:dyDescent="0.3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7"/>
      <c r="Q1" s="27"/>
      <c r="R1" s="26"/>
    </row>
    <row r="2" spans="1:18" ht="67.5" customHeight="1" x14ac:dyDescent="0.25">
      <c r="A2" s="26"/>
      <c r="B2" s="26"/>
      <c r="C2" s="28"/>
      <c r="D2" s="178" t="s">
        <v>43</v>
      </c>
      <c r="E2" s="178"/>
      <c r="F2" s="178"/>
      <c r="G2" s="178"/>
      <c r="H2" s="178"/>
      <c r="I2" s="178"/>
      <c r="J2" s="178"/>
      <c r="K2" s="29"/>
      <c r="L2" s="26"/>
      <c r="M2" s="26"/>
      <c r="N2" s="28"/>
      <c r="O2" s="178" t="s">
        <v>539</v>
      </c>
      <c r="P2" s="180"/>
      <c r="Q2" s="180"/>
      <c r="R2" s="184"/>
    </row>
    <row r="3" spans="1:18" ht="15" customHeight="1" x14ac:dyDescent="0.25">
      <c r="A3" s="26"/>
      <c r="B3" s="26"/>
      <c r="C3" s="26"/>
      <c r="D3" s="179"/>
      <c r="E3" s="180"/>
      <c r="F3" s="180"/>
      <c r="G3" s="180"/>
      <c r="H3" s="180"/>
      <c r="I3" s="180"/>
      <c r="J3" s="181"/>
      <c r="K3" s="26"/>
      <c r="L3" s="26"/>
      <c r="M3" s="26"/>
      <c r="N3" s="26"/>
      <c r="O3" s="179"/>
      <c r="P3" s="180"/>
      <c r="Q3" s="180"/>
      <c r="R3" s="181"/>
    </row>
    <row r="4" spans="1:18" ht="15" customHeight="1" x14ac:dyDescent="0.25">
      <c r="A4" s="26"/>
      <c r="B4" s="26"/>
      <c r="C4" s="26"/>
      <c r="D4" s="179"/>
      <c r="E4" s="180"/>
      <c r="F4" s="180"/>
      <c r="G4" s="180"/>
      <c r="H4" s="180"/>
      <c r="I4" s="180"/>
      <c r="J4" s="181"/>
      <c r="K4" s="26"/>
      <c r="L4" s="26"/>
      <c r="M4" s="26"/>
      <c r="N4" s="26"/>
      <c r="O4" s="179"/>
      <c r="P4" s="180"/>
      <c r="Q4" s="180"/>
      <c r="R4" s="181"/>
    </row>
    <row r="5" spans="1:18" ht="30" customHeight="1" thickBot="1" x14ac:dyDescent="0.3">
      <c r="A5" s="26"/>
      <c r="B5" s="26"/>
      <c r="C5" s="26"/>
      <c r="D5" s="179"/>
      <c r="E5" s="180"/>
      <c r="F5" s="180"/>
      <c r="G5" s="180"/>
      <c r="H5" s="180"/>
      <c r="I5" s="180"/>
      <c r="J5" s="181"/>
      <c r="K5" s="26"/>
      <c r="L5" s="26"/>
      <c r="M5" s="26"/>
      <c r="N5" s="26"/>
      <c r="O5" s="179"/>
      <c r="P5" s="180"/>
      <c r="Q5" s="180"/>
      <c r="R5" s="181"/>
    </row>
    <row r="6" spans="1:18" ht="15.75" customHeight="1" x14ac:dyDescent="0.25">
      <c r="A6" s="26"/>
      <c r="B6" s="26"/>
      <c r="C6" s="26"/>
      <c r="D6" s="34"/>
      <c r="E6" s="34"/>
      <c r="F6" s="34"/>
      <c r="G6" s="34"/>
      <c r="H6" s="34"/>
      <c r="I6" s="34"/>
      <c r="J6" s="34"/>
      <c r="K6" s="26"/>
      <c r="L6" s="26"/>
      <c r="M6" s="26"/>
      <c r="N6" s="26"/>
      <c r="O6" s="34"/>
      <c r="P6" s="34"/>
      <c r="Q6" s="34"/>
      <c r="R6" s="182"/>
    </row>
    <row r="7" spans="1:18" ht="16.5" customHeight="1" thickBot="1" x14ac:dyDescent="0.3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183"/>
    </row>
    <row r="8" spans="1:18" ht="24.95" customHeight="1" x14ac:dyDescent="0.25">
      <c r="A8" s="26"/>
      <c r="B8" s="26"/>
      <c r="C8" s="185" t="s">
        <v>42</v>
      </c>
      <c r="D8" s="186"/>
      <c r="E8" s="186"/>
      <c r="F8" s="31"/>
      <c r="G8" s="31"/>
      <c r="H8" s="29"/>
      <c r="I8" s="185" t="s">
        <v>36</v>
      </c>
      <c r="J8" s="186"/>
      <c r="K8" s="186"/>
      <c r="L8" s="31"/>
      <c r="M8" s="31"/>
      <c r="N8" s="32"/>
      <c r="O8" s="26"/>
      <c r="P8" s="26"/>
      <c r="Q8" s="26"/>
      <c r="R8" s="26"/>
    </row>
    <row r="9" spans="1:18" ht="24.95" customHeight="1" thickBot="1" x14ac:dyDescent="0.3">
      <c r="A9" s="26"/>
      <c r="B9" s="26"/>
      <c r="C9" s="174"/>
      <c r="D9" s="175"/>
      <c r="E9" s="175"/>
      <c r="F9" s="12"/>
      <c r="G9" s="12"/>
      <c r="H9" s="29"/>
      <c r="I9" s="174"/>
      <c r="J9" s="175"/>
      <c r="K9" s="175"/>
      <c r="L9" s="12"/>
      <c r="M9" s="12"/>
      <c r="N9" s="29"/>
      <c r="O9" s="33"/>
      <c r="P9" s="26"/>
      <c r="Q9" s="26"/>
      <c r="R9" s="26"/>
    </row>
    <row r="10" spans="1:18" ht="24.95" customHeight="1" x14ac:dyDescent="0.25">
      <c r="A10" s="26"/>
      <c r="B10" s="26"/>
      <c r="C10" s="174"/>
      <c r="D10" s="175"/>
      <c r="E10" s="175"/>
      <c r="F10" s="12"/>
      <c r="G10" s="12"/>
      <c r="H10" s="29"/>
      <c r="I10" s="174"/>
      <c r="J10" s="175"/>
      <c r="K10" s="175"/>
      <c r="L10" s="12"/>
      <c r="M10" s="12"/>
      <c r="N10" s="32"/>
      <c r="O10" s="187" t="s">
        <v>30</v>
      </c>
      <c r="P10" s="188"/>
      <c r="Q10" s="188"/>
      <c r="R10" s="189"/>
    </row>
    <row r="11" spans="1:18" ht="24.95" customHeight="1" x14ac:dyDescent="0.25">
      <c r="A11" s="26"/>
      <c r="B11" s="26"/>
      <c r="C11" s="174" t="s">
        <v>33</v>
      </c>
      <c r="D11" s="175"/>
      <c r="E11" s="175"/>
      <c r="F11" s="12"/>
      <c r="G11" s="12"/>
      <c r="H11" s="29"/>
      <c r="I11" s="174" t="s">
        <v>41</v>
      </c>
      <c r="J11" s="175"/>
      <c r="K11" s="175"/>
      <c r="L11" s="12"/>
      <c r="M11" s="12"/>
      <c r="N11" s="32"/>
      <c r="O11" s="190"/>
      <c r="P11" s="190"/>
      <c r="Q11" s="190"/>
      <c r="R11" s="191"/>
    </row>
    <row r="12" spans="1:18" ht="24.95" customHeight="1" x14ac:dyDescent="0.25">
      <c r="A12" s="26"/>
      <c r="B12" s="26"/>
      <c r="C12" s="174"/>
      <c r="D12" s="175"/>
      <c r="E12" s="175"/>
      <c r="F12" s="12"/>
      <c r="G12" s="12"/>
      <c r="H12" s="29"/>
      <c r="I12" s="174"/>
      <c r="J12" s="175"/>
      <c r="K12" s="175"/>
      <c r="L12" s="12"/>
      <c r="M12" s="12"/>
      <c r="N12" s="32"/>
      <c r="O12" s="187" t="s">
        <v>29</v>
      </c>
      <c r="P12" s="190"/>
      <c r="Q12" s="190"/>
      <c r="R12" s="191"/>
    </row>
    <row r="13" spans="1:18" ht="24.95" customHeight="1" x14ac:dyDescent="0.25">
      <c r="A13" s="26"/>
      <c r="B13" s="26"/>
      <c r="C13" s="174"/>
      <c r="D13" s="175"/>
      <c r="E13" s="175"/>
      <c r="F13" s="12"/>
      <c r="G13" s="12"/>
      <c r="H13" s="29"/>
      <c r="I13" s="174"/>
      <c r="J13" s="175"/>
      <c r="K13" s="175"/>
      <c r="L13" s="12"/>
      <c r="M13" s="12"/>
      <c r="N13" s="32"/>
      <c r="O13" s="190"/>
      <c r="P13" s="190"/>
      <c r="Q13" s="190"/>
      <c r="R13" s="191"/>
    </row>
    <row r="14" spans="1:18" ht="24.95" customHeight="1" thickBot="1" x14ac:dyDescent="0.3">
      <c r="A14" s="26"/>
      <c r="B14" s="26"/>
      <c r="C14" s="174" t="s">
        <v>34</v>
      </c>
      <c r="D14" s="175"/>
      <c r="E14" s="175"/>
      <c r="F14" s="12"/>
      <c r="G14" s="12"/>
      <c r="H14" s="29"/>
      <c r="I14" s="174" t="s">
        <v>37</v>
      </c>
      <c r="J14" s="175"/>
      <c r="K14" s="175"/>
      <c r="L14" s="12"/>
      <c r="M14" s="12"/>
      <c r="N14" s="32"/>
      <c r="O14" s="190"/>
      <c r="P14" s="190"/>
      <c r="Q14" s="190"/>
      <c r="R14" s="191"/>
    </row>
    <row r="15" spans="1:18" ht="24.95" customHeight="1" x14ac:dyDescent="0.25">
      <c r="A15" s="26"/>
      <c r="B15" s="26"/>
      <c r="C15" s="174"/>
      <c r="D15" s="175"/>
      <c r="E15" s="175"/>
      <c r="F15" s="12"/>
      <c r="G15" s="12"/>
      <c r="H15" s="29"/>
      <c r="I15" s="174"/>
      <c r="J15" s="175"/>
      <c r="K15" s="175"/>
      <c r="L15" s="12"/>
      <c r="M15" s="12"/>
      <c r="N15" s="29"/>
      <c r="O15" s="34"/>
      <c r="P15" s="34"/>
      <c r="Q15" s="34"/>
      <c r="R15" s="34"/>
    </row>
    <row r="16" spans="1:18" ht="24.95" customHeight="1" x14ac:dyDescent="0.25">
      <c r="A16" s="26"/>
      <c r="B16" s="26"/>
      <c r="C16" s="174"/>
      <c r="D16" s="175"/>
      <c r="E16" s="175"/>
      <c r="F16" s="12"/>
      <c r="G16" s="12"/>
      <c r="H16" s="29"/>
      <c r="I16" s="174"/>
      <c r="J16" s="175"/>
      <c r="K16" s="175"/>
      <c r="L16" s="12"/>
      <c r="M16" s="12"/>
      <c r="N16" s="29"/>
      <c r="O16" s="26"/>
      <c r="P16" s="26"/>
      <c r="Q16" s="26"/>
      <c r="R16" s="26"/>
    </row>
    <row r="17" spans="1:18" ht="24.95" customHeight="1" x14ac:dyDescent="0.25">
      <c r="A17" s="26"/>
      <c r="B17" s="26"/>
      <c r="C17" s="174" t="s">
        <v>35</v>
      </c>
      <c r="D17" s="175"/>
      <c r="E17" s="175"/>
      <c r="F17" s="12"/>
      <c r="G17" s="12"/>
      <c r="H17" s="29"/>
      <c r="I17" s="174" t="s">
        <v>38</v>
      </c>
      <c r="J17" s="175"/>
      <c r="K17" s="175"/>
      <c r="L17" s="12"/>
      <c r="M17" s="12"/>
      <c r="N17" s="29"/>
      <c r="O17" s="26"/>
      <c r="P17" s="26"/>
      <c r="Q17" s="26"/>
      <c r="R17" s="26"/>
    </row>
    <row r="18" spans="1:18" ht="24.95" customHeight="1" x14ac:dyDescent="0.25">
      <c r="A18" s="26"/>
      <c r="B18" s="26"/>
      <c r="C18" s="174"/>
      <c r="D18" s="175"/>
      <c r="E18" s="175"/>
      <c r="F18" s="12"/>
      <c r="G18" s="12"/>
      <c r="H18" s="29"/>
      <c r="I18" s="174"/>
      <c r="J18" s="175"/>
      <c r="K18" s="175"/>
      <c r="L18" s="12"/>
      <c r="M18" s="12"/>
      <c r="N18" s="29"/>
      <c r="O18" s="26"/>
      <c r="P18" s="26"/>
      <c r="Q18" s="26"/>
      <c r="R18" s="26"/>
    </row>
    <row r="19" spans="1:18" ht="24.95" customHeight="1" thickBot="1" x14ac:dyDescent="0.3">
      <c r="A19" s="26"/>
      <c r="B19" s="26"/>
      <c r="C19" s="176"/>
      <c r="D19" s="177"/>
      <c r="E19" s="177"/>
      <c r="F19" s="30"/>
      <c r="G19" s="30"/>
      <c r="H19" s="29"/>
      <c r="I19" s="176"/>
      <c r="J19" s="177"/>
      <c r="K19" s="177"/>
      <c r="L19" s="30"/>
      <c r="M19" s="30"/>
      <c r="N19" s="29"/>
      <c r="O19" s="26"/>
      <c r="P19" s="26"/>
      <c r="Q19" s="26"/>
      <c r="R19" s="26"/>
    </row>
    <row r="20" spans="1:18" ht="44.25" customHeight="1" x14ac:dyDescent="0.25"/>
    <row r="21" spans="1:18" ht="15" customHeight="1" x14ac:dyDescent="0.25"/>
    <row r="22" spans="1:18" ht="15" customHeight="1" x14ac:dyDescent="0.25"/>
    <row r="25" spans="1:18" ht="16.5" customHeight="1" x14ac:dyDescent="0.25"/>
    <row r="26" spans="1:18" ht="16.5" customHeight="1" x14ac:dyDescent="0.25"/>
    <row r="27" spans="1:18" ht="31.5" customHeight="1" x14ac:dyDescent="0.25"/>
    <row r="28" spans="1:18" ht="16.5" customHeight="1" x14ac:dyDescent="0.25"/>
    <row r="29" spans="1:18" ht="16.5" customHeight="1" x14ac:dyDescent="0.25"/>
    <row r="30" spans="1:18" ht="30" customHeight="1" x14ac:dyDescent="0.25"/>
  </sheetData>
  <mergeCells count="13">
    <mergeCell ref="C17:E19"/>
    <mergeCell ref="D2:J5"/>
    <mergeCell ref="R6:R7"/>
    <mergeCell ref="O2:R5"/>
    <mergeCell ref="C8:E10"/>
    <mergeCell ref="C11:E13"/>
    <mergeCell ref="C14:E16"/>
    <mergeCell ref="I8:K10"/>
    <mergeCell ref="I11:K13"/>
    <mergeCell ref="I14:K16"/>
    <mergeCell ref="I17:K19"/>
    <mergeCell ref="O10:R11"/>
    <mergeCell ref="O12:R1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4AFB8-9B03-4F9D-BFFB-A187EC099FFF}">
  <sheetPr codeName="Sheet10"/>
  <dimension ref="A1:W105"/>
  <sheetViews>
    <sheetView showGridLines="0" tabSelected="1" topLeftCell="E1" zoomScale="85" zoomScaleNormal="85" workbookViewId="0">
      <pane ySplit="1" topLeftCell="A42" activePane="bottomLeft" state="frozen"/>
      <selection pane="bottomLeft" activeCell="I37" sqref="I37"/>
    </sheetView>
  </sheetViews>
  <sheetFormatPr defaultRowHeight="15" outlineLevelRow="1" x14ac:dyDescent="0.25"/>
  <cols>
    <col min="1" max="1" width="2.85546875" style="4" customWidth="1"/>
    <col min="2" max="2" width="39.140625" style="4" bestFit="1" customWidth="1"/>
    <col min="3" max="3" width="20.7109375" style="18" bestFit="1" customWidth="1"/>
    <col min="4" max="4" width="9.42578125" style="4" bestFit="1" customWidth="1"/>
    <col min="5" max="5" width="33.42578125" style="4" bestFit="1" customWidth="1"/>
    <col min="6" max="6" width="9.42578125" style="4" bestFit="1" customWidth="1"/>
    <col min="7" max="7" width="7.140625" style="4" bestFit="1" customWidth="1"/>
    <col min="8" max="8" width="33.140625" style="4" bestFit="1" customWidth="1"/>
    <col min="9" max="9" width="12.85546875" style="4" bestFit="1" customWidth="1"/>
    <col min="10" max="10" width="14.28515625" style="4" bestFit="1" customWidth="1"/>
    <col min="11" max="11" width="10.28515625" style="4" bestFit="1" customWidth="1"/>
    <col min="12" max="12" width="8.140625" style="4" bestFit="1" customWidth="1"/>
    <col min="13" max="19" width="7.140625" style="4" bestFit="1" customWidth="1"/>
    <col min="20" max="21" width="8.42578125" style="4" bestFit="1" customWidth="1"/>
    <col min="22" max="16384" width="9.140625" style="4"/>
  </cols>
  <sheetData>
    <row r="1" spans="1:21" ht="18.75" x14ac:dyDescent="0.3">
      <c r="A1" s="2"/>
      <c r="B1" s="3" t="s">
        <v>77</v>
      </c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</row>
    <row r="2" spans="1:21" ht="15.75" x14ac:dyDescent="0.3">
      <c r="A2" s="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</row>
    <row r="3" spans="1:21" ht="16.5" x14ac:dyDescent="0.3">
      <c r="A3" s="2"/>
      <c r="B3" s="155" t="s">
        <v>78</v>
      </c>
      <c r="C3" s="155"/>
      <c r="D3"/>
      <c r="E3" s="155" t="s">
        <v>84</v>
      </c>
      <c r="F3" s="155"/>
      <c r="G3"/>
      <c r="H3" s="155" t="s">
        <v>85</v>
      </c>
      <c r="I3" s="155"/>
      <c r="J3" s="20"/>
      <c r="K3" s="20"/>
      <c r="L3" s="20"/>
      <c r="M3" s="20"/>
      <c r="N3" s="20"/>
      <c r="O3" s="156"/>
      <c r="P3" s="156"/>
      <c r="Q3" s="156"/>
      <c r="R3" s="156"/>
      <c r="S3" s="156"/>
      <c r="T3" s="156"/>
      <c r="U3" s="156"/>
    </row>
    <row r="4" spans="1:21" ht="15.75" x14ac:dyDescent="0.3">
      <c r="A4" s="2"/>
      <c r="B4" s="8" t="s">
        <v>12</v>
      </c>
      <c r="C4" s="157"/>
      <c r="D4"/>
      <c r="E4" s="8" t="s">
        <v>93</v>
      </c>
      <c r="F4" s="19">
        <v>0</v>
      </c>
      <c r="G4"/>
      <c r="H4" s="8" t="s">
        <v>21</v>
      </c>
      <c r="I4" s="159">
        <v>1</v>
      </c>
      <c r="J4"/>
      <c r="K4"/>
      <c r="L4"/>
      <c r="M4"/>
      <c r="N4"/>
      <c r="O4"/>
      <c r="P4"/>
      <c r="Q4"/>
      <c r="R4"/>
      <c r="S4"/>
      <c r="T4"/>
      <c r="U4"/>
    </row>
    <row r="5" spans="1:21" ht="15.75" x14ac:dyDescent="0.3">
      <c r="A5" s="2"/>
      <c r="B5" s="8" t="s">
        <v>13</v>
      </c>
      <c r="C5" s="19">
        <v>0</v>
      </c>
      <c r="D5"/>
      <c r="E5" s="8" t="s">
        <v>48</v>
      </c>
      <c r="F5" s="19">
        <v>0</v>
      </c>
      <c r="G5"/>
      <c r="H5" s="8" t="s">
        <v>22</v>
      </c>
      <c r="I5" s="159">
        <v>1</v>
      </c>
      <c r="J5"/>
      <c r="K5"/>
      <c r="L5"/>
      <c r="M5"/>
      <c r="N5"/>
      <c r="O5"/>
      <c r="P5"/>
      <c r="Q5"/>
      <c r="R5"/>
      <c r="S5"/>
      <c r="T5"/>
      <c r="U5"/>
    </row>
    <row r="6" spans="1:21" ht="15.75" x14ac:dyDescent="0.3">
      <c r="A6" s="2"/>
      <c r="B6" s="8" t="s">
        <v>4</v>
      </c>
      <c r="C6" s="158">
        <v>0</v>
      </c>
      <c r="D6"/>
      <c r="E6" s="14" t="s">
        <v>49</v>
      </c>
      <c r="F6" s="121">
        <f>F4-F5</f>
        <v>0</v>
      </c>
      <c r="G6"/>
      <c r="H6" s="5" t="s">
        <v>359</v>
      </c>
      <c r="I6" s="160">
        <v>1</v>
      </c>
      <c r="J6"/>
      <c r="K6"/>
      <c r="L6"/>
      <c r="M6"/>
      <c r="N6"/>
      <c r="O6"/>
      <c r="P6"/>
      <c r="Q6"/>
      <c r="R6"/>
      <c r="S6"/>
      <c r="T6"/>
      <c r="U6"/>
    </row>
    <row r="7" spans="1:21" ht="15.75" x14ac:dyDescent="0.3">
      <c r="A7" s="2"/>
      <c r="B7" s="8" t="s">
        <v>14</v>
      </c>
      <c r="C7" s="19">
        <v>0</v>
      </c>
      <c r="D7"/>
      <c r="E7" s="8" t="s">
        <v>50</v>
      </c>
      <c r="F7" s="19">
        <v>0</v>
      </c>
      <c r="G7"/>
      <c r="H7"/>
      <c r="I7"/>
      <c r="J7"/>
      <c r="K7"/>
      <c r="L7"/>
      <c r="M7"/>
      <c r="N7"/>
      <c r="O7"/>
      <c r="P7"/>
      <c r="Q7"/>
      <c r="R7"/>
      <c r="S7"/>
      <c r="T7"/>
      <c r="U7"/>
    </row>
    <row r="8" spans="1:21" ht="15.75" x14ac:dyDescent="0.3">
      <c r="A8" s="2"/>
      <c r="B8" s="5" t="s">
        <v>15</v>
      </c>
      <c r="C8" s="16">
        <v>0</v>
      </c>
      <c r="D8"/>
      <c r="E8" s="8" t="s">
        <v>51</v>
      </c>
      <c r="F8" s="19">
        <v>0</v>
      </c>
      <c r="G8"/>
      <c r="H8" s="11" t="s">
        <v>86</v>
      </c>
      <c r="I8" s="11"/>
      <c r="J8" s="11"/>
      <c r="K8" s="11"/>
      <c r="L8" s="11"/>
      <c r="M8" s="11"/>
      <c r="N8" s="11"/>
      <c r="O8" s="161"/>
      <c r="P8" s="161"/>
      <c r="Q8" s="161"/>
      <c r="R8" s="161"/>
      <c r="S8" s="161"/>
      <c r="T8" s="161"/>
      <c r="U8" s="161"/>
    </row>
    <row r="9" spans="1:21" ht="15.75" outlineLevel="1" x14ac:dyDescent="0.3">
      <c r="A9" s="2"/>
      <c r="B9"/>
      <c r="C9"/>
      <c r="D9"/>
      <c r="E9" s="8" t="s">
        <v>52</v>
      </c>
      <c r="F9" s="19">
        <v>0</v>
      </c>
      <c r="G9"/>
      <c r="H9" s="5" t="s">
        <v>98</v>
      </c>
      <c r="I9" s="7"/>
      <c r="J9" s="5" t="s">
        <v>99</v>
      </c>
      <c r="K9" s="16">
        <v>0</v>
      </c>
      <c r="L9" s="162" t="s">
        <v>100</v>
      </c>
      <c r="M9" s="105">
        <v>0</v>
      </c>
      <c r="N9"/>
      <c r="O9"/>
      <c r="P9"/>
      <c r="Q9"/>
      <c r="R9"/>
      <c r="S9"/>
      <c r="T9"/>
      <c r="U9"/>
    </row>
    <row r="10" spans="1:21" ht="16.5" outlineLevel="1" x14ac:dyDescent="0.3">
      <c r="A10" s="2"/>
      <c r="B10" s="155" t="s">
        <v>79</v>
      </c>
      <c r="C10" s="155"/>
      <c r="D10"/>
      <c r="E10" s="14" t="s">
        <v>53</v>
      </c>
      <c r="F10" s="121">
        <f>F7+F8+F9</f>
        <v>0</v>
      </c>
      <c r="G10"/>
      <c r="H10"/>
      <c r="I10" s="13" t="s">
        <v>102</v>
      </c>
      <c r="J10" s="13" t="s">
        <v>103</v>
      </c>
      <c r="K10" s="13" t="s">
        <v>104</v>
      </c>
      <c r="L10" s="13" t="s">
        <v>105</v>
      </c>
      <c r="M10" s="13" t="s">
        <v>106</v>
      </c>
      <c r="N10" s="13" t="s">
        <v>107</v>
      </c>
      <c r="O10" s="13" t="s">
        <v>108</v>
      </c>
      <c r="P10" s="13" t="s">
        <v>109</v>
      </c>
      <c r="Q10" s="13" t="s">
        <v>110</v>
      </c>
      <c r="R10" s="13" t="s">
        <v>111</v>
      </c>
      <c r="S10" s="13" t="s">
        <v>112</v>
      </c>
      <c r="T10"/>
      <c r="U10"/>
    </row>
    <row r="11" spans="1:21" ht="15.75" outlineLevel="1" x14ac:dyDescent="0.3">
      <c r="A11" s="2"/>
      <c r="B11" s="8" t="s">
        <v>5</v>
      </c>
      <c r="C11" s="9">
        <v>2025</v>
      </c>
      <c r="D11"/>
      <c r="E11" s="14" t="s">
        <v>54</v>
      </c>
      <c r="F11" s="121">
        <f>F6-F10</f>
        <v>0</v>
      </c>
      <c r="G11"/>
      <c r="H11" s="14" t="s">
        <v>101</v>
      </c>
      <c r="I11" s="104">
        <v>0</v>
      </c>
      <c r="J11" s="104">
        <v>0</v>
      </c>
      <c r="K11" s="104">
        <v>0</v>
      </c>
      <c r="L11" s="104">
        <v>0</v>
      </c>
      <c r="M11" s="104">
        <v>0</v>
      </c>
      <c r="N11" s="104">
        <v>0</v>
      </c>
      <c r="O11" s="104">
        <v>0</v>
      </c>
      <c r="P11" s="104">
        <v>0</v>
      </c>
      <c r="Q11" s="104">
        <v>0</v>
      </c>
      <c r="R11" s="104">
        <v>0</v>
      </c>
      <c r="S11" s="104">
        <v>0</v>
      </c>
      <c r="T11"/>
      <c r="U11"/>
    </row>
    <row r="12" spans="1:21" ht="15.75" outlineLevel="1" x14ac:dyDescent="0.3">
      <c r="A12" s="2"/>
      <c r="B12" s="8" t="s">
        <v>6</v>
      </c>
      <c r="C12" s="9">
        <v>2035</v>
      </c>
      <c r="D12"/>
      <c r="E12" s="8" t="s">
        <v>55</v>
      </c>
      <c r="F12" s="19">
        <v>0</v>
      </c>
      <c r="G12"/>
      <c r="H12" s="6" t="s">
        <v>3</v>
      </c>
      <c r="I12" s="105">
        <v>0</v>
      </c>
      <c r="J12" s="105">
        <v>0</v>
      </c>
      <c r="K12" s="105">
        <v>0</v>
      </c>
      <c r="L12" s="105">
        <v>0</v>
      </c>
      <c r="M12" s="105">
        <v>0</v>
      </c>
      <c r="N12" s="105">
        <v>0</v>
      </c>
      <c r="O12" s="105">
        <v>0</v>
      </c>
      <c r="P12" s="105">
        <v>0</v>
      </c>
      <c r="Q12" s="105">
        <v>0</v>
      </c>
      <c r="R12" s="105">
        <v>0</v>
      </c>
      <c r="S12" s="105">
        <v>0</v>
      </c>
      <c r="T12"/>
      <c r="U12"/>
    </row>
    <row r="13" spans="1:21" ht="15.75" x14ac:dyDescent="0.3">
      <c r="A13" s="2"/>
      <c r="B13" s="5" t="s">
        <v>87</v>
      </c>
      <c r="C13" s="7">
        <v>52</v>
      </c>
      <c r="D13"/>
      <c r="E13" s="14" t="s">
        <v>56</v>
      </c>
      <c r="F13" s="121">
        <f>F11+F12</f>
        <v>0</v>
      </c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</row>
    <row r="14" spans="1:21" ht="15.75" x14ac:dyDescent="0.3">
      <c r="A14" s="2"/>
      <c r="B14"/>
      <c r="C14"/>
      <c r="D14"/>
      <c r="E14" s="14" t="s">
        <v>57</v>
      </c>
      <c r="F14" s="121">
        <f>F13*(1-C17)</f>
        <v>0</v>
      </c>
      <c r="G14"/>
      <c r="H14" s="163" t="s">
        <v>39</v>
      </c>
      <c r="I14" s="163"/>
      <c r="J14" s="163"/>
      <c r="K14" s="163"/>
      <c r="L14" s="163"/>
      <c r="M14" s="163"/>
      <c r="N14" s="163"/>
      <c r="O14" s="164"/>
      <c r="P14" s="164"/>
      <c r="Q14" s="164"/>
      <c r="R14" s="164"/>
      <c r="S14" s="164"/>
      <c r="T14" s="164"/>
      <c r="U14" s="164"/>
    </row>
    <row r="15" spans="1:21" ht="16.5" outlineLevel="1" x14ac:dyDescent="0.3">
      <c r="A15" s="2"/>
      <c r="B15" s="155" t="s">
        <v>81</v>
      </c>
      <c r="C15" s="155"/>
      <c r="D15"/>
      <c r="E15" s="14" t="s">
        <v>94</v>
      </c>
      <c r="F15" s="19">
        <v>0</v>
      </c>
      <c r="G15"/>
      <c r="H15" s="5" t="s">
        <v>98</v>
      </c>
      <c r="I15" s="7"/>
      <c r="J15" s="5" t="s">
        <v>99</v>
      </c>
      <c r="K15" s="16">
        <v>0</v>
      </c>
      <c r="L15" s="162" t="s">
        <v>100</v>
      </c>
      <c r="M15" s="105">
        <v>0</v>
      </c>
      <c r="N15"/>
      <c r="O15"/>
      <c r="P15"/>
      <c r="Q15"/>
      <c r="R15"/>
      <c r="S15"/>
      <c r="T15"/>
      <c r="U15"/>
    </row>
    <row r="16" spans="1:21" ht="15.75" outlineLevel="1" x14ac:dyDescent="0.3">
      <c r="A16" s="2"/>
      <c r="B16" s="8" t="s">
        <v>3</v>
      </c>
      <c r="C16" s="17">
        <v>0</v>
      </c>
      <c r="D16"/>
      <c r="E16" s="14" t="s">
        <v>58</v>
      </c>
      <c r="F16" s="19">
        <v>0</v>
      </c>
      <c r="G16"/>
      <c r="H16"/>
      <c r="I16" s="13" t="s">
        <v>102</v>
      </c>
      <c r="J16" s="13" t="s">
        <v>103</v>
      </c>
      <c r="K16" s="13" t="s">
        <v>104</v>
      </c>
      <c r="L16" s="13" t="s">
        <v>105</v>
      </c>
      <c r="M16" s="13" t="s">
        <v>106</v>
      </c>
      <c r="N16" s="13" t="s">
        <v>107</v>
      </c>
      <c r="O16" s="13" t="s">
        <v>108</v>
      </c>
      <c r="P16" s="13" t="s">
        <v>109</v>
      </c>
      <c r="Q16" s="13" t="s">
        <v>110</v>
      </c>
      <c r="R16" s="13" t="s">
        <v>111</v>
      </c>
      <c r="S16" s="13" t="s">
        <v>112</v>
      </c>
      <c r="T16"/>
      <c r="U16"/>
    </row>
    <row r="17" spans="1:21" ht="15.75" outlineLevel="1" x14ac:dyDescent="0.3">
      <c r="A17" s="2"/>
      <c r="B17" s="8" t="s">
        <v>2</v>
      </c>
      <c r="C17" s="17">
        <v>0</v>
      </c>
      <c r="D17"/>
      <c r="E17" s="14" t="s">
        <v>95</v>
      </c>
      <c r="F17" s="19">
        <v>0</v>
      </c>
      <c r="G17"/>
      <c r="H17" s="14" t="s">
        <v>101</v>
      </c>
      <c r="I17" s="104">
        <v>0</v>
      </c>
      <c r="J17" s="104">
        <v>0</v>
      </c>
      <c r="K17" s="104">
        <v>0</v>
      </c>
      <c r="L17" s="104">
        <v>0</v>
      </c>
      <c r="M17" s="104">
        <v>0</v>
      </c>
      <c r="N17" s="104">
        <v>0</v>
      </c>
      <c r="O17" s="104">
        <v>0</v>
      </c>
      <c r="P17" s="104">
        <v>0</v>
      </c>
      <c r="Q17" s="104">
        <v>0</v>
      </c>
      <c r="R17" s="104">
        <v>0</v>
      </c>
      <c r="S17" s="104">
        <v>0</v>
      </c>
      <c r="T17"/>
      <c r="U17"/>
    </row>
    <row r="18" spans="1:21" ht="15.75" outlineLevel="1" x14ac:dyDescent="0.3">
      <c r="A18" s="2"/>
      <c r="B18" s="8" t="s">
        <v>90</v>
      </c>
      <c r="C18" s="17">
        <v>0</v>
      </c>
      <c r="D18"/>
      <c r="E18" s="14" t="s">
        <v>96</v>
      </c>
      <c r="F18" s="19">
        <v>0</v>
      </c>
      <c r="G18"/>
      <c r="H18" s="165" t="s">
        <v>3</v>
      </c>
      <c r="I18" s="166">
        <v>0</v>
      </c>
      <c r="J18" s="166">
        <v>0</v>
      </c>
      <c r="K18" s="166">
        <v>0</v>
      </c>
      <c r="L18" s="166">
        <v>0</v>
      </c>
      <c r="M18" s="166">
        <v>0</v>
      </c>
      <c r="N18" s="166">
        <v>0</v>
      </c>
      <c r="O18" s="166">
        <v>0</v>
      </c>
      <c r="P18" s="166">
        <v>0</v>
      </c>
      <c r="Q18" s="166">
        <v>0</v>
      </c>
      <c r="R18" s="166">
        <v>0</v>
      </c>
      <c r="S18" s="166">
        <v>0</v>
      </c>
      <c r="T18" s="167"/>
      <c r="U18" s="167"/>
    </row>
    <row r="19" spans="1:21" ht="15.75" x14ac:dyDescent="0.3">
      <c r="A19" s="2"/>
      <c r="B19" s="8" t="s">
        <v>91</v>
      </c>
      <c r="C19" s="17">
        <v>0</v>
      </c>
      <c r="D19"/>
      <c r="E19" s="6" t="s">
        <v>97</v>
      </c>
      <c r="F19" s="16">
        <v>0</v>
      </c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</row>
    <row r="20" spans="1:21" ht="15.75" x14ac:dyDescent="0.3">
      <c r="A20" s="2"/>
      <c r="B20" s="8" t="s">
        <v>92</v>
      </c>
      <c r="C20" s="17">
        <v>0</v>
      </c>
      <c r="D20"/>
      <c r="G20"/>
      <c r="H20" s="163" t="s">
        <v>40</v>
      </c>
      <c r="I20" s="163"/>
      <c r="J20" s="163"/>
      <c r="K20" s="163"/>
      <c r="L20" s="163"/>
      <c r="M20" s="163"/>
      <c r="N20" s="163"/>
      <c r="O20" s="164"/>
      <c r="P20" s="164"/>
      <c r="Q20" s="164"/>
      <c r="R20" s="164"/>
      <c r="S20" s="164"/>
      <c r="T20" s="164"/>
      <c r="U20" s="164"/>
    </row>
    <row r="21" spans="1:21" ht="15.75" outlineLevel="1" x14ac:dyDescent="0.3">
      <c r="A21" s="2"/>
      <c r="B21" s="8" t="s">
        <v>25</v>
      </c>
      <c r="C21" s="17">
        <v>0</v>
      </c>
      <c r="D21"/>
      <c r="G21"/>
      <c r="H21" s="5" t="s">
        <v>98</v>
      </c>
      <c r="I21" s="7"/>
      <c r="J21" s="5" t="s">
        <v>99</v>
      </c>
      <c r="K21" s="16">
        <v>0</v>
      </c>
      <c r="L21" s="162" t="s">
        <v>100</v>
      </c>
      <c r="M21" s="105">
        <v>0</v>
      </c>
      <c r="N21"/>
      <c r="O21"/>
      <c r="P21"/>
      <c r="Q21"/>
      <c r="R21"/>
      <c r="S21"/>
      <c r="T21"/>
      <c r="U21"/>
    </row>
    <row r="22" spans="1:21" ht="15.75" outlineLevel="1" x14ac:dyDescent="0.3">
      <c r="A22" s="2"/>
      <c r="B22" s="8" t="s">
        <v>73</v>
      </c>
      <c r="C22" s="17">
        <v>0</v>
      </c>
      <c r="D22"/>
      <c r="G22"/>
      <c r="H22"/>
      <c r="I22" s="13" t="s">
        <v>102</v>
      </c>
      <c r="J22" s="13" t="s">
        <v>103</v>
      </c>
      <c r="K22" s="13" t="s">
        <v>104</v>
      </c>
      <c r="L22" s="13" t="s">
        <v>105</v>
      </c>
      <c r="M22" s="13" t="s">
        <v>106</v>
      </c>
      <c r="N22" s="13" t="s">
        <v>107</v>
      </c>
      <c r="O22" s="13" t="s">
        <v>108</v>
      </c>
      <c r="P22" s="13" t="s">
        <v>109</v>
      </c>
      <c r="Q22" s="13" t="s">
        <v>110</v>
      </c>
      <c r="R22" s="13" t="s">
        <v>111</v>
      </c>
      <c r="S22" s="13" t="s">
        <v>112</v>
      </c>
      <c r="T22"/>
      <c r="U22"/>
    </row>
    <row r="23" spans="1:21" ht="15.75" outlineLevel="1" x14ac:dyDescent="0.3">
      <c r="A23" s="2"/>
      <c r="B23" s="5" t="s">
        <v>74</v>
      </c>
      <c r="C23" s="10">
        <v>0</v>
      </c>
      <c r="D23"/>
      <c r="G23"/>
      <c r="H23" s="14" t="s">
        <v>101</v>
      </c>
      <c r="I23" s="104">
        <v>0</v>
      </c>
      <c r="J23" s="104">
        <v>0</v>
      </c>
      <c r="K23" s="104">
        <v>0</v>
      </c>
      <c r="L23" s="104">
        <v>0</v>
      </c>
      <c r="M23" s="104">
        <v>0</v>
      </c>
      <c r="N23" s="104">
        <v>0</v>
      </c>
      <c r="O23" s="104">
        <v>0</v>
      </c>
      <c r="P23" s="104">
        <v>0</v>
      </c>
      <c r="Q23" s="104">
        <v>0</v>
      </c>
      <c r="R23" s="104">
        <v>0</v>
      </c>
      <c r="S23" s="104">
        <v>0</v>
      </c>
      <c r="T23"/>
      <c r="U23"/>
    </row>
    <row r="24" spans="1:21" ht="15.75" outlineLevel="1" x14ac:dyDescent="0.3">
      <c r="A24" s="2"/>
      <c r="B24"/>
      <c r="C24"/>
      <c r="D24"/>
      <c r="G24"/>
      <c r="H24" s="165" t="s">
        <v>3</v>
      </c>
      <c r="I24" s="166">
        <v>0</v>
      </c>
      <c r="J24" s="166">
        <v>0</v>
      </c>
      <c r="K24" s="166">
        <v>0</v>
      </c>
      <c r="L24" s="166">
        <v>0</v>
      </c>
      <c r="M24" s="166">
        <v>0</v>
      </c>
      <c r="N24" s="166">
        <v>0</v>
      </c>
      <c r="O24" s="166">
        <v>0</v>
      </c>
      <c r="P24" s="166">
        <v>0</v>
      </c>
      <c r="Q24" s="166">
        <v>0</v>
      </c>
      <c r="R24" s="166">
        <v>0</v>
      </c>
      <c r="S24" s="166">
        <v>0</v>
      </c>
      <c r="T24" s="167"/>
      <c r="U24" s="167"/>
    </row>
    <row r="25" spans="1:21" ht="16.5" x14ac:dyDescent="0.3">
      <c r="A25" s="2"/>
      <c r="B25" s="155" t="s">
        <v>82</v>
      </c>
      <c r="C25" s="155"/>
      <c r="D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</row>
    <row r="26" spans="1:21" ht="15.75" x14ac:dyDescent="0.3">
      <c r="A26" s="2"/>
      <c r="B26" s="8" t="s">
        <v>17</v>
      </c>
      <c r="C26" s="17">
        <v>0</v>
      </c>
      <c r="D26"/>
      <c r="G26"/>
      <c r="H26" s="163" t="s">
        <v>76</v>
      </c>
      <c r="I26" s="163"/>
      <c r="J26" s="163"/>
      <c r="K26" s="163"/>
      <c r="L26" s="163"/>
      <c r="M26" s="163"/>
      <c r="N26" s="163"/>
      <c r="O26" s="164"/>
      <c r="P26" s="164"/>
      <c r="Q26" s="164"/>
      <c r="R26" s="164"/>
      <c r="S26" s="164"/>
      <c r="T26" s="164"/>
      <c r="U26" s="164"/>
    </row>
    <row r="27" spans="1:21" ht="15.75" outlineLevel="1" x14ac:dyDescent="0.3">
      <c r="A27" s="2"/>
      <c r="B27" s="5" t="s">
        <v>18</v>
      </c>
      <c r="C27" s="10">
        <v>0</v>
      </c>
      <c r="D27"/>
      <c r="G27"/>
      <c r="H27" s="5" t="s">
        <v>98</v>
      </c>
      <c r="I27" s="7"/>
      <c r="J27" s="5" t="s">
        <v>99</v>
      </c>
      <c r="K27" s="16">
        <v>0</v>
      </c>
      <c r="L27" s="162" t="s">
        <v>100</v>
      </c>
      <c r="M27" s="105">
        <v>0</v>
      </c>
      <c r="N27"/>
      <c r="O27"/>
      <c r="P27"/>
      <c r="Q27"/>
      <c r="R27"/>
      <c r="S27"/>
      <c r="T27"/>
      <c r="U27"/>
    </row>
    <row r="28" spans="1:21" ht="15.75" outlineLevel="1" x14ac:dyDescent="0.3">
      <c r="A28" s="2"/>
      <c r="B28"/>
      <c r="C28"/>
      <c r="D28"/>
      <c r="G28"/>
      <c r="H28"/>
      <c r="I28" s="13" t="s">
        <v>102</v>
      </c>
      <c r="J28" s="13" t="s">
        <v>103</v>
      </c>
      <c r="K28" s="13" t="s">
        <v>104</v>
      </c>
      <c r="L28" s="13" t="s">
        <v>105</v>
      </c>
      <c r="M28" s="13" t="s">
        <v>106</v>
      </c>
      <c r="N28" s="13" t="s">
        <v>107</v>
      </c>
      <c r="O28" s="13" t="s">
        <v>108</v>
      </c>
      <c r="P28" s="13" t="s">
        <v>109</v>
      </c>
      <c r="Q28" s="13" t="s">
        <v>110</v>
      </c>
      <c r="R28" s="13" t="s">
        <v>111</v>
      </c>
      <c r="S28" s="13" t="s">
        <v>112</v>
      </c>
      <c r="T28"/>
      <c r="U28"/>
    </row>
    <row r="29" spans="1:21" ht="16.5" outlineLevel="1" x14ac:dyDescent="0.3">
      <c r="A29" s="2"/>
      <c r="B29" s="155" t="s">
        <v>83</v>
      </c>
      <c r="C29" s="155"/>
      <c r="D29"/>
      <c r="G29"/>
      <c r="H29" s="14" t="s">
        <v>101</v>
      </c>
      <c r="I29" s="104">
        <v>0</v>
      </c>
      <c r="J29" s="104">
        <v>0</v>
      </c>
      <c r="K29" s="104">
        <v>0</v>
      </c>
      <c r="L29" s="104">
        <v>0</v>
      </c>
      <c r="M29" s="104">
        <v>0</v>
      </c>
      <c r="N29" s="104">
        <v>0</v>
      </c>
      <c r="O29" s="104">
        <v>0</v>
      </c>
      <c r="P29" s="104">
        <v>0</v>
      </c>
      <c r="Q29" s="104">
        <v>0</v>
      </c>
      <c r="R29" s="104">
        <v>0</v>
      </c>
      <c r="S29" s="104">
        <v>0</v>
      </c>
      <c r="T29"/>
      <c r="U29"/>
    </row>
    <row r="30" spans="1:21" ht="15.75" outlineLevel="1" x14ac:dyDescent="0.3">
      <c r="A30" s="2"/>
      <c r="B30" s="8" t="s">
        <v>19</v>
      </c>
      <c r="C30" s="109">
        <v>0</v>
      </c>
      <c r="D30"/>
      <c r="G30"/>
      <c r="H30" s="165" t="s">
        <v>3</v>
      </c>
      <c r="I30" s="166">
        <v>0</v>
      </c>
      <c r="J30" s="166">
        <v>0</v>
      </c>
      <c r="K30" s="166">
        <v>0</v>
      </c>
      <c r="L30" s="166">
        <v>0</v>
      </c>
      <c r="M30" s="166">
        <v>0</v>
      </c>
      <c r="N30" s="166">
        <v>0</v>
      </c>
      <c r="O30" s="166">
        <v>0</v>
      </c>
      <c r="P30" s="166">
        <v>0</v>
      </c>
      <c r="Q30" s="166">
        <v>0</v>
      </c>
      <c r="R30" s="166">
        <v>0</v>
      </c>
      <c r="S30" s="166">
        <v>0</v>
      </c>
      <c r="T30" s="167"/>
      <c r="U30" s="167"/>
    </row>
    <row r="31" spans="1:21" ht="15.75" x14ac:dyDescent="0.3">
      <c r="A31" s="2"/>
      <c r="B31" s="5" t="s">
        <v>20</v>
      </c>
      <c r="C31" s="10">
        <v>0</v>
      </c>
      <c r="D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</row>
    <row r="32" spans="1:21" ht="15.75" x14ac:dyDescent="0.3">
      <c r="A32" s="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</row>
    <row r="33" spans="1:23" ht="16.5" x14ac:dyDescent="0.3">
      <c r="A33" s="2"/>
      <c r="B33" s="155" t="s">
        <v>370</v>
      </c>
      <c r="C33" s="155"/>
      <c r="D33"/>
      <c r="E33"/>
      <c r="F33"/>
      <c r="G33"/>
      <c r="H33" s="20" t="s">
        <v>385</v>
      </c>
      <c r="I33" s="20"/>
      <c r="J33" s="20"/>
      <c r="K33" s="20"/>
      <c r="L33" s="20"/>
      <c r="M33" s="20"/>
      <c r="N33" s="20"/>
      <c r="O33"/>
      <c r="P33"/>
      <c r="Q33"/>
      <c r="R33"/>
      <c r="S33"/>
      <c r="T33"/>
      <c r="U33"/>
    </row>
    <row r="34" spans="1:23" ht="34.5" customHeight="1" x14ac:dyDescent="0.3">
      <c r="A34" s="2"/>
      <c r="B34" s="8" t="s">
        <v>371</v>
      </c>
      <c r="C34" s="109">
        <v>1</v>
      </c>
      <c r="D34"/>
      <c r="E34"/>
      <c r="F34"/>
      <c r="G34"/>
      <c r="H34" s="172" t="s">
        <v>560</v>
      </c>
      <c r="I34" s="173"/>
      <c r="J34"/>
      <c r="K34"/>
      <c r="L34"/>
      <c r="M34"/>
      <c r="N34"/>
      <c r="O34"/>
      <c r="P34"/>
      <c r="Q34"/>
      <c r="R34"/>
      <c r="S34"/>
      <c r="T34"/>
      <c r="U34"/>
      <c r="V34"/>
      <c r="W34"/>
    </row>
    <row r="35" spans="1:23" ht="15.75" x14ac:dyDescent="0.3">
      <c r="A35" s="2"/>
      <c r="B35" s="8" t="s">
        <v>372</v>
      </c>
      <c r="C35" s="109">
        <v>0</v>
      </c>
      <c r="D35"/>
      <c r="E35"/>
      <c r="F35"/>
      <c r="G35"/>
      <c r="H35" s="11" t="s">
        <v>386</v>
      </c>
      <c r="I35" s="11"/>
      <c r="J35"/>
      <c r="K35"/>
      <c r="L35"/>
      <c r="M35"/>
      <c r="N35"/>
      <c r="O35"/>
      <c r="P35"/>
      <c r="Q35"/>
      <c r="R35"/>
      <c r="S35"/>
      <c r="T35"/>
      <c r="U35"/>
      <c r="V35"/>
      <c r="W35"/>
    </row>
    <row r="36" spans="1:23" ht="15.75" x14ac:dyDescent="0.3">
      <c r="A36" s="2"/>
      <c r="B36" s="8" t="s">
        <v>373</v>
      </c>
      <c r="C36" s="109">
        <v>0</v>
      </c>
      <c r="D36"/>
      <c r="E36"/>
      <c r="F36"/>
      <c r="G36"/>
      <c r="H36" s="5" t="s">
        <v>387</v>
      </c>
      <c r="I36" s="108">
        <v>1</v>
      </c>
      <c r="J36"/>
      <c r="K36"/>
      <c r="L36"/>
      <c r="M36"/>
      <c r="N36"/>
      <c r="O36"/>
      <c r="P36"/>
      <c r="Q36"/>
      <c r="R36"/>
      <c r="S36"/>
      <c r="T36"/>
      <c r="U36"/>
      <c r="V36"/>
      <c r="W36"/>
    </row>
    <row r="37" spans="1:23" ht="15.75" x14ac:dyDescent="0.3">
      <c r="A37" s="2"/>
      <c r="B37" s="8" t="s">
        <v>374</v>
      </c>
      <c r="C37" s="109">
        <v>0</v>
      </c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</row>
    <row r="38" spans="1:23" ht="15.75" x14ac:dyDescent="0.3">
      <c r="A38" s="2"/>
      <c r="B38" s="8" t="s">
        <v>375</v>
      </c>
      <c r="C38" s="19">
        <v>0</v>
      </c>
      <c r="D38"/>
      <c r="E38"/>
      <c r="F38"/>
      <c r="G38"/>
      <c r="H38" s="11" t="s">
        <v>388</v>
      </c>
      <c r="I38" s="11"/>
      <c r="J38"/>
      <c r="K38"/>
      <c r="L38"/>
      <c r="M38"/>
      <c r="N38"/>
      <c r="O38"/>
      <c r="P38"/>
      <c r="Q38"/>
      <c r="R38"/>
      <c r="S38"/>
      <c r="T38"/>
      <c r="U38"/>
      <c r="V38"/>
      <c r="W38"/>
    </row>
    <row r="39" spans="1:23" ht="15.75" x14ac:dyDescent="0.3">
      <c r="A39" s="2"/>
      <c r="B39" s="8" t="s">
        <v>376</v>
      </c>
      <c r="C39" s="19">
        <v>0</v>
      </c>
      <c r="D39"/>
      <c r="E39"/>
      <c r="F39"/>
      <c r="G39"/>
      <c r="H39" s="8" t="s">
        <v>389</v>
      </c>
      <c r="I39" s="17">
        <v>0</v>
      </c>
      <c r="J39"/>
      <c r="K39"/>
      <c r="L39"/>
      <c r="M39"/>
      <c r="N39"/>
      <c r="O39"/>
      <c r="P39"/>
      <c r="Q39"/>
      <c r="R39"/>
      <c r="S39"/>
      <c r="T39"/>
      <c r="U39"/>
      <c r="V39"/>
      <c r="W39"/>
    </row>
    <row r="40" spans="1:23" ht="15.75" x14ac:dyDescent="0.3">
      <c r="A40" s="2"/>
      <c r="B40" s="5" t="s">
        <v>377</v>
      </c>
      <c r="C40" s="16">
        <v>0</v>
      </c>
      <c r="D40"/>
      <c r="E40"/>
      <c r="F40"/>
      <c r="G40"/>
      <c r="H40" s="8" t="s">
        <v>390</v>
      </c>
      <c r="I40" s="19">
        <v>0</v>
      </c>
      <c r="J40"/>
      <c r="K40"/>
      <c r="L40"/>
      <c r="M40"/>
      <c r="N40"/>
      <c r="O40"/>
      <c r="P40"/>
      <c r="Q40"/>
      <c r="R40"/>
      <c r="S40"/>
      <c r="T40"/>
      <c r="U40"/>
      <c r="V40"/>
      <c r="W40"/>
    </row>
    <row r="41" spans="1:23" ht="15.75" x14ac:dyDescent="0.3">
      <c r="A41" s="2"/>
      <c r="B41"/>
      <c r="C41"/>
      <c r="D41"/>
      <c r="E41"/>
      <c r="F41"/>
      <c r="G41"/>
      <c r="H41" s="8" t="s">
        <v>391</v>
      </c>
      <c r="I41" s="17">
        <v>0</v>
      </c>
      <c r="J41"/>
      <c r="K41"/>
      <c r="L41"/>
      <c r="M41"/>
      <c r="N41"/>
      <c r="O41"/>
      <c r="P41"/>
      <c r="Q41"/>
      <c r="R41"/>
      <c r="S41"/>
      <c r="T41"/>
      <c r="U41"/>
      <c r="V41"/>
      <c r="W41"/>
    </row>
    <row r="42" spans="1:23" ht="16.5" x14ac:dyDescent="0.3">
      <c r="A42" s="2"/>
      <c r="B42" s="155" t="s">
        <v>80</v>
      </c>
      <c r="C42" s="155"/>
      <c r="D42"/>
      <c r="E42"/>
      <c r="F42"/>
      <c r="G42"/>
      <c r="H42" s="8" t="s">
        <v>392</v>
      </c>
      <c r="I42" s="19">
        <v>0</v>
      </c>
      <c r="J42"/>
      <c r="K42"/>
      <c r="L42"/>
      <c r="M42"/>
      <c r="N42"/>
      <c r="O42"/>
      <c r="P42"/>
      <c r="Q42"/>
      <c r="R42"/>
      <c r="S42"/>
      <c r="T42"/>
      <c r="U42"/>
      <c r="V42"/>
      <c r="W42"/>
    </row>
    <row r="43" spans="1:23" ht="15.75" x14ac:dyDescent="0.3">
      <c r="A43" s="2"/>
      <c r="B43" s="8" t="s">
        <v>16</v>
      </c>
      <c r="C43" s="17">
        <v>0</v>
      </c>
      <c r="D43"/>
      <c r="E43"/>
      <c r="F43"/>
      <c r="G43"/>
      <c r="H43" s="8" t="s">
        <v>393</v>
      </c>
      <c r="I43" s="17">
        <v>0</v>
      </c>
      <c r="J43"/>
      <c r="K43"/>
      <c r="L43"/>
      <c r="M43"/>
      <c r="N43"/>
      <c r="O43"/>
      <c r="P43"/>
      <c r="Q43"/>
      <c r="R43"/>
      <c r="S43"/>
      <c r="T43"/>
      <c r="U43"/>
      <c r="V43"/>
      <c r="W43"/>
    </row>
    <row r="44" spans="1:23" ht="15.75" x14ac:dyDescent="0.3">
      <c r="A44" s="2"/>
      <c r="B44" s="8" t="s">
        <v>1</v>
      </c>
      <c r="C44" s="17">
        <v>0</v>
      </c>
      <c r="D44"/>
      <c r="E44"/>
      <c r="F44"/>
      <c r="G44"/>
      <c r="H44" s="8" t="s">
        <v>394</v>
      </c>
      <c r="I44" s="19">
        <v>0</v>
      </c>
      <c r="J44"/>
      <c r="K44"/>
      <c r="L44"/>
      <c r="M44"/>
      <c r="N44"/>
      <c r="O44"/>
      <c r="P44"/>
      <c r="Q44"/>
      <c r="R44"/>
      <c r="S44"/>
      <c r="T44"/>
      <c r="U44"/>
      <c r="V44"/>
      <c r="W44"/>
    </row>
    <row r="45" spans="1:23" ht="15.75" x14ac:dyDescent="0.3">
      <c r="A45" s="2"/>
      <c r="B45" s="8" t="s">
        <v>384</v>
      </c>
      <c r="C45" s="109">
        <v>1</v>
      </c>
      <c r="D45"/>
      <c r="E45"/>
      <c r="F45"/>
      <c r="G45"/>
      <c r="H45" s="8" t="s">
        <v>395</v>
      </c>
      <c r="I45" s="17">
        <v>0</v>
      </c>
      <c r="J45"/>
      <c r="K45"/>
      <c r="L45"/>
      <c r="M45"/>
      <c r="N45"/>
      <c r="O45"/>
      <c r="P45"/>
      <c r="Q45"/>
      <c r="R45"/>
      <c r="S45"/>
      <c r="T45"/>
      <c r="U45"/>
      <c r="V45"/>
      <c r="W45"/>
    </row>
    <row r="46" spans="1:23" ht="15.75" x14ac:dyDescent="0.3">
      <c r="A46" s="2"/>
      <c r="B46" s="8" t="s">
        <v>88</v>
      </c>
      <c r="C46" s="109">
        <v>0</v>
      </c>
      <c r="D46"/>
      <c r="E46"/>
      <c r="F46"/>
      <c r="G46"/>
      <c r="H46" s="8" t="s">
        <v>396</v>
      </c>
      <c r="I46" s="19">
        <v>0</v>
      </c>
      <c r="J46"/>
      <c r="K46"/>
      <c r="L46"/>
      <c r="M46"/>
      <c r="N46"/>
      <c r="O46"/>
      <c r="P46"/>
      <c r="Q46"/>
      <c r="R46"/>
      <c r="S46"/>
      <c r="T46"/>
      <c r="U46"/>
      <c r="V46"/>
      <c r="W46"/>
    </row>
    <row r="47" spans="1:23" ht="15.75" x14ac:dyDescent="0.3">
      <c r="A47"/>
      <c r="B47" s="8" t="s">
        <v>7</v>
      </c>
      <c r="C47" s="17">
        <v>0</v>
      </c>
      <c r="D47"/>
      <c r="E47"/>
      <c r="F47"/>
      <c r="G47"/>
      <c r="H47" s="5" t="s">
        <v>397</v>
      </c>
      <c r="I47" s="10">
        <v>0</v>
      </c>
      <c r="J47"/>
      <c r="K47"/>
      <c r="L47"/>
      <c r="M47"/>
      <c r="N47"/>
      <c r="O47"/>
      <c r="P47"/>
      <c r="Q47"/>
      <c r="R47"/>
      <c r="S47"/>
      <c r="T47"/>
      <c r="U47"/>
      <c r="V47"/>
      <c r="W47"/>
    </row>
    <row r="48" spans="1:23" ht="15.75" x14ac:dyDescent="0.3">
      <c r="A48"/>
      <c r="B48" s="8" t="s">
        <v>8</v>
      </c>
      <c r="C48" s="17">
        <v>0</v>
      </c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</row>
    <row r="49" spans="1:23" ht="15.75" x14ac:dyDescent="0.3">
      <c r="A49"/>
      <c r="B49" s="8" t="s">
        <v>9</v>
      </c>
      <c r="C49" s="106">
        <v>0</v>
      </c>
      <c r="D49"/>
      <c r="E49"/>
      <c r="F49"/>
      <c r="G49"/>
      <c r="H49" s="11" t="s">
        <v>398</v>
      </c>
      <c r="I49" s="11"/>
      <c r="J49"/>
      <c r="K49"/>
      <c r="L49"/>
      <c r="M49"/>
      <c r="N49"/>
      <c r="O49"/>
      <c r="P49"/>
      <c r="Q49"/>
      <c r="R49"/>
      <c r="S49"/>
      <c r="T49"/>
      <c r="U49"/>
      <c r="V49"/>
      <c r="W49"/>
    </row>
    <row r="50" spans="1:23" ht="15.75" x14ac:dyDescent="0.3">
      <c r="A50"/>
      <c r="B50" s="8" t="s">
        <v>10</v>
      </c>
      <c r="C50" s="17">
        <v>0</v>
      </c>
      <c r="D50"/>
      <c r="E50"/>
      <c r="F50"/>
      <c r="G50"/>
      <c r="H50" s="8" t="s">
        <v>399</v>
      </c>
      <c r="I50" s="19">
        <v>0</v>
      </c>
      <c r="J50"/>
      <c r="K50"/>
      <c r="L50"/>
      <c r="M50"/>
      <c r="N50"/>
      <c r="O50"/>
      <c r="P50"/>
      <c r="Q50"/>
      <c r="R50"/>
      <c r="S50"/>
      <c r="T50"/>
      <c r="U50"/>
      <c r="V50"/>
      <c r="W50"/>
    </row>
    <row r="51" spans="1:23" ht="15.75" x14ac:dyDescent="0.3">
      <c r="A51"/>
      <c r="B51" s="8" t="s">
        <v>89</v>
      </c>
      <c r="C51" s="17">
        <v>0</v>
      </c>
      <c r="D51"/>
      <c r="E51"/>
      <c r="F51"/>
      <c r="G51"/>
      <c r="H51" s="8" t="s">
        <v>400</v>
      </c>
      <c r="I51" s="109">
        <v>0</v>
      </c>
      <c r="J51"/>
      <c r="K51"/>
      <c r="L51"/>
      <c r="M51"/>
      <c r="N51"/>
      <c r="O51"/>
      <c r="P51"/>
      <c r="Q51"/>
      <c r="R51"/>
      <c r="S51"/>
      <c r="T51"/>
      <c r="U51"/>
    </row>
    <row r="52" spans="1:23" ht="15.75" x14ac:dyDescent="0.3">
      <c r="A52" s="2"/>
      <c r="B52" s="5" t="s">
        <v>113</v>
      </c>
      <c r="C52" s="105">
        <v>0</v>
      </c>
      <c r="D52"/>
      <c r="E52"/>
      <c r="F52"/>
      <c r="G52"/>
      <c r="H52" s="8" t="s">
        <v>401</v>
      </c>
      <c r="I52" s="17">
        <v>0</v>
      </c>
      <c r="J52"/>
      <c r="K52"/>
      <c r="L52"/>
      <c r="M52"/>
      <c r="N52"/>
      <c r="O52"/>
      <c r="P52"/>
      <c r="Q52"/>
      <c r="R52"/>
      <c r="S52"/>
      <c r="T52"/>
      <c r="U52"/>
    </row>
    <row r="53" spans="1:23" ht="15.75" x14ac:dyDescent="0.3">
      <c r="A53" s="2"/>
      <c r="B53"/>
      <c r="C53"/>
      <c r="D53"/>
      <c r="E53"/>
      <c r="F53"/>
      <c r="G53"/>
      <c r="H53" s="5" t="s">
        <v>402</v>
      </c>
      <c r="I53" s="10">
        <v>0</v>
      </c>
      <c r="J53"/>
      <c r="K53"/>
      <c r="L53"/>
      <c r="M53"/>
      <c r="N53"/>
      <c r="O53"/>
      <c r="P53"/>
      <c r="Q53"/>
      <c r="R53"/>
      <c r="S53"/>
      <c r="T53"/>
      <c r="U53"/>
    </row>
    <row r="54" spans="1:23" ht="16.5" x14ac:dyDescent="0.3">
      <c r="A54" s="2"/>
      <c r="B54" s="155" t="s">
        <v>364</v>
      </c>
      <c r="C54" s="155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1:23" ht="15.75" x14ac:dyDescent="0.3">
      <c r="A55" s="2"/>
      <c r="B55" s="8" t="s">
        <v>365</v>
      </c>
      <c r="C55" s="109">
        <v>1</v>
      </c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1:23" ht="15.75" x14ac:dyDescent="0.3">
      <c r="A56" s="2"/>
      <c r="B56" s="8" t="s">
        <v>366</v>
      </c>
      <c r="C56" s="109">
        <v>0</v>
      </c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1:23" ht="15.75" x14ac:dyDescent="0.3">
      <c r="A57" s="2"/>
      <c r="B57" s="8" t="s">
        <v>367</v>
      </c>
      <c r="C57" s="109">
        <v>0</v>
      </c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1:23" ht="15.75" x14ac:dyDescent="0.3">
      <c r="A58" s="2"/>
      <c r="B58" s="8" t="s">
        <v>368</v>
      </c>
      <c r="C58" s="104">
        <v>0</v>
      </c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1:23" ht="15.75" x14ac:dyDescent="0.3">
      <c r="A59" s="2"/>
      <c r="B59" s="5" t="s">
        <v>369</v>
      </c>
      <c r="C59" s="10">
        <v>0</v>
      </c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1:23" ht="15.75" x14ac:dyDescent="0.3">
      <c r="A60" s="2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1:23" ht="15.75" x14ac:dyDescent="0.3">
      <c r="A61" s="2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1:23" ht="16.5" outlineLevel="1" x14ac:dyDescent="0.3">
      <c r="A62" s="2"/>
      <c r="B62" s="20" t="s">
        <v>561</v>
      </c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</row>
    <row r="63" spans="1:23" ht="15.75" outlineLevel="1" x14ac:dyDescent="0.3">
      <c r="A63" s="2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1:23" ht="15.75" x14ac:dyDescent="0.3">
      <c r="A64" s="2"/>
      <c r="B64" s="169" t="s">
        <v>562</v>
      </c>
      <c r="C64" s="168" t="s">
        <v>60</v>
      </c>
      <c r="D64" s="168" t="s">
        <v>61</v>
      </c>
      <c r="E64" s="168" t="s">
        <v>62</v>
      </c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1:21" ht="15.75" outlineLevel="1" x14ac:dyDescent="0.3">
      <c r="A65" s="2"/>
      <c r="B65" s="8" t="s">
        <v>63</v>
      </c>
      <c r="C65" s="17">
        <v>0</v>
      </c>
      <c r="D65" s="17">
        <v>0</v>
      </c>
      <c r="E65" s="17">
        <v>0</v>
      </c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1:21" ht="15.75" outlineLevel="1" x14ac:dyDescent="0.3">
      <c r="A66" s="2"/>
      <c r="B66" s="8" t="s">
        <v>31</v>
      </c>
      <c r="C66" s="17">
        <v>0</v>
      </c>
      <c r="D66" s="17">
        <v>0</v>
      </c>
      <c r="E66" s="17">
        <v>0</v>
      </c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1:21" ht="15.75" outlineLevel="1" x14ac:dyDescent="0.3">
      <c r="A67"/>
      <c r="B67" s="8" t="s">
        <v>64</v>
      </c>
      <c r="C67" s="17">
        <v>0</v>
      </c>
      <c r="D67" s="17">
        <v>0</v>
      </c>
      <c r="E67" s="17">
        <v>0</v>
      </c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1:21" ht="15.75" outlineLevel="1" x14ac:dyDescent="0.3">
      <c r="A68"/>
      <c r="B68" s="8" t="s">
        <v>65</v>
      </c>
      <c r="C68" s="17">
        <v>0</v>
      </c>
      <c r="D68" s="17">
        <v>0</v>
      </c>
      <c r="E68" s="17">
        <v>0</v>
      </c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</row>
    <row r="69" spans="1:21" ht="15.75" outlineLevel="1" x14ac:dyDescent="0.3">
      <c r="A69"/>
      <c r="B69" s="8" t="s">
        <v>66</v>
      </c>
      <c r="C69" s="17">
        <v>0</v>
      </c>
      <c r="D69" s="17">
        <v>0</v>
      </c>
      <c r="E69" s="17">
        <v>0</v>
      </c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</row>
    <row r="70" spans="1:21" ht="15.75" outlineLevel="1" x14ac:dyDescent="0.3">
      <c r="A70"/>
      <c r="B70" s="8" t="s">
        <v>32</v>
      </c>
      <c r="C70" s="17">
        <v>0</v>
      </c>
      <c r="D70" s="17">
        <v>0</v>
      </c>
      <c r="E70" s="17">
        <v>0</v>
      </c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</row>
    <row r="71" spans="1:21" ht="15.75" outlineLevel="1" x14ac:dyDescent="0.3">
      <c r="A71"/>
      <c r="B71" s="8" t="s">
        <v>59</v>
      </c>
      <c r="C71" s="15">
        <v>0.25</v>
      </c>
      <c r="D71" s="15">
        <v>0.5</v>
      </c>
      <c r="E71" s="15">
        <v>0.25</v>
      </c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</row>
    <row r="72" spans="1:21" ht="15.75" outlineLevel="1" x14ac:dyDescent="0.3">
      <c r="A72"/>
      <c r="B72" s="5" t="s">
        <v>378</v>
      </c>
      <c r="C72" s="10">
        <v>0</v>
      </c>
      <c r="D72" s="10">
        <v>0</v>
      </c>
      <c r="E72" s="10">
        <v>0</v>
      </c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</row>
    <row r="73" spans="1:21" outlineLevel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</row>
    <row r="74" spans="1:21" outlineLevel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</row>
    <row r="75" spans="1:21" x14ac:dyDescent="0.25">
      <c r="A75"/>
      <c r="B75" s="11" t="s">
        <v>553</v>
      </c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/>
      <c r="O75"/>
      <c r="P75"/>
      <c r="Q75"/>
      <c r="R75"/>
      <c r="S75"/>
      <c r="T75"/>
      <c r="U75"/>
    </row>
    <row r="76" spans="1:21" outlineLevel="1" x14ac:dyDescent="0.25">
      <c r="A76"/>
      <c r="B76" s="11"/>
      <c r="C76" s="13" t="s">
        <v>102</v>
      </c>
      <c r="D76" s="13" t="s">
        <v>103</v>
      </c>
      <c r="E76" s="13" t="s">
        <v>104</v>
      </c>
      <c r="F76" s="13" t="s">
        <v>105</v>
      </c>
      <c r="G76" s="13" t="s">
        <v>106</v>
      </c>
      <c r="H76" s="13" t="s">
        <v>107</v>
      </c>
      <c r="I76" s="13" t="s">
        <v>108</v>
      </c>
      <c r="J76" s="13" t="s">
        <v>109</v>
      </c>
      <c r="K76" s="13" t="s">
        <v>110</v>
      </c>
      <c r="L76" s="13" t="s">
        <v>111</v>
      </c>
      <c r="M76" s="13" t="s">
        <v>112</v>
      </c>
      <c r="N76"/>
      <c r="O76"/>
      <c r="P76"/>
      <c r="Q76"/>
      <c r="R76"/>
      <c r="S76"/>
      <c r="T76"/>
      <c r="U76"/>
    </row>
    <row r="77" spans="1:21" ht="15.75" outlineLevel="1" x14ac:dyDescent="0.3">
      <c r="A77"/>
      <c r="B77" s="8" t="s">
        <v>554</v>
      </c>
      <c r="C77" s="17">
        <v>0</v>
      </c>
      <c r="D77" s="17">
        <v>0</v>
      </c>
      <c r="E77" s="17">
        <v>0</v>
      </c>
      <c r="F77" s="17">
        <v>0</v>
      </c>
      <c r="G77" s="17">
        <v>0</v>
      </c>
      <c r="H77" s="17">
        <v>0</v>
      </c>
      <c r="I77" s="17">
        <v>0</v>
      </c>
      <c r="J77" s="17">
        <v>0</v>
      </c>
      <c r="K77" s="17">
        <v>0</v>
      </c>
      <c r="L77" s="17">
        <v>0</v>
      </c>
      <c r="M77" s="17">
        <v>0</v>
      </c>
      <c r="N77"/>
      <c r="O77"/>
      <c r="P77"/>
      <c r="Q77"/>
      <c r="R77"/>
      <c r="S77"/>
    </row>
    <row r="78" spans="1:21" ht="15.75" outlineLevel="1" x14ac:dyDescent="0.3">
      <c r="A78" s="2"/>
      <c r="B78" s="8" t="s">
        <v>555</v>
      </c>
      <c r="C78" s="17">
        <v>0</v>
      </c>
      <c r="D78" s="17">
        <v>0</v>
      </c>
      <c r="E78" s="17">
        <v>0</v>
      </c>
      <c r="F78" s="17">
        <v>0</v>
      </c>
      <c r="G78" s="17">
        <v>0</v>
      </c>
      <c r="H78" s="17">
        <v>0</v>
      </c>
      <c r="I78" s="17">
        <v>0</v>
      </c>
      <c r="J78" s="17">
        <v>0</v>
      </c>
      <c r="K78" s="17">
        <v>0</v>
      </c>
      <c r="L78" s="17">
        <v>0</v>
      </c>
      <c r="M78" s="17">
        <v>0</v>
      </c>
    </row>
    <row r="79" spans="1:21" ht="15.75" outlineLevel="1" x14ac:dyDescent="0.3">
      <c r="A79" s="2"/>
      <c r="B79" s="8" t="s">
        <v>556</v>
      </c>
      <c r="C79" s="17">
        <v>0</v>
      </c>
      <c r="D79" s="17">
        <v>0</v>
      </c>
      <c r="E79" s="17">
        <v>0</v>
      </c>
      <c r="F79" s="17">
        <v>0</v>
      </c>
      <c r="G79" s="17">
        <v>0</v>
      </c>
      <c r="H79" s="17">
        <v>0</v>
      </c>
      <c r="I79" s="17">
        <v>0</v>
      </c>
      <c r="J79" s="17">
        <v>0</v>
      </c>
      <c r="K79" s="17">
        <v>0</v>
      </c>
      <c r="L79" s="17">
        <v>0</v>
      </c>
      <c r="M79" s="17">
        <v>0</v>
      </c>
    </row>
    <row r="80" spans="1:21" ht="15.75" outlineLevel="1" x14ac:dyDescent="0.3">
      <c r="A80" s="2"/>
      <c r="B80" s="8" t="s">
        <v>557</v>
      </c>
      <c r="C80" s="17">
        <v>0</v>
      </c>
      <c r="D80" s="17">
        <v>0</v>
      </c>
      <c r="E80" s="17">
        <v>0</v>
      </c>
      <c r="F80" s="17">
        <v>0</v>
      </c>
      <c r="G80" s="17">
        <v>0</v>
      </c>
      <c r="H80" s="17">
        <v>0</v>
      </c>
      <c r="I80" s="17">
        <v>0</v>
      </c>
      <c r="J80" s="17">
        <v>0</v>
      </c>
      <c r="K80" s="17">
        <v>0</v>
      </c>
      <c r="L80" s="17">
        <v>0</v>
      </c>
      <c r="M80" s="17">
        <v>0</v>
      </c>
    </row>
    <row r="81" spans="1:21" ht="15.75" x14ac:dyDescent="0.3">
      <c r="A81" s="2"/>
      <c r="B81" s="8" t="s">
        <v>558</v>
      </c>
      <c r="C81" s="17">
        <v>0</v>
      </c>
      <c r="D81" s="17">
        <v>0</v>
      </c>
      <c r="E81" s="17">
        <v>0</v>
      </c>
      <c r="F81" s="17">
        <v>0</v>
      </c>
      <c r="G81" s="17">
        <v>0</v>
      </c>
      <c r="H81" s="17">
        <v>0</v>
      </c>
      <c r="I81" s="17">
        <v>0</v>
      </c>
      <c r="J81" s="17">
        <v>0</v>
      </c>
      <c r="K81" s="17">
        <v>0</v>
      </c>
      <c r="L81" s="17">
        <v>0</v>
      </c>
      <c r="M81" s="17">
        <v>0</v>
      </c>
    </row>
    <row r="82" spans="1:21" ht="15.75" x14ac:dyDescent="0.3">
      <c r="A82" s="2"/>
      <c r="B82" s="5" t="s">
        <v>559</v>
      </c>
      <c r="C82" s="10">
        <v>0</v>
      </c>
      <c r="D82" s="10">
        <v>0</v>
      </c>
      <c r="E82" s="10">
        <v>0</v>
      </c>
      <c r="F82" s="10">
        <v>0</v>
      </c>
      <c r="G82" s="10">
        <v>0</v>
      </c>
      <c r="H82" s="10">
        <v>0</v>
      </c>
      <c r="I82" s="10">
        <v>0</v>
      </c>
      <c r="J82" s="10">
        <v>0</v>
      </c>
      <c r="K82" s="10">
        <v>0</v>
      </c>
      <c r="L82" s="10">
        <v>0</v>
      </c>
      <c r="M82" s="10">
        <v>0</v>
      </c>
    </row>
    <row r="85" spans="1:21" ht="15.75" x14ac:dyDescent="0.25">
      <c r="B85" s="20" t="s">
        <v>563</v>
      </c>
      <c r="C85" s="17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</row>
    <row r="87" spans="1:21" ht="15.75" x14ac:dyDescent="0.3">
      <c r="B87" s="8" t="s">
        <v>23</v>
      </c>
      <c r="C87" s="19">
        <v>10000</v>
      </c>
      <c r="H87" s="11" t="s">
        <v>379</v>
      </c>
      <c r="I87" s="11"/>
    </row>
    <row r="88" spans="1:21" ht="15.75" x14ac:dyDescent="0.3">
      <c r="B88" s="8" t="s">
        <v>67</v>
      </c>
      <c r="C88" s="109">
        <v>0</v>
      </c>
      <c r="H88" s="8" t="s">
        <v>380</v>
      </c>
      <c r="I88" s="106">
        <v>0.25</v>
      </c>
    </row>
    <row r="89" spans="1:21" ht="15.75" x14ac:dyDescent="0.3">
      <c r="B89" s="5" t="s">
        <v>68</v>
      </c>
      <c r="C89" s="108">
        <v>0</v>
      </c>
      <c r="H89" s="8" t="s">
        <v>381</v>
      </c>
      <c r="I89" s="106">
        <v>-0.6</v>
      </c>
    </row>
    <row r="90" spans="1:21" ht="15.75" x14ac:dyDescent="0.3">
      <c r="H90" s="8" t="s">
        <v>382</v>
      </c>
      <c r="I90" s="106">
        <v>0.25</v>
      </c>
    </row>
    <row r="91" spans="1:21" ht="15.75" x14ac:dyDescent="0.3">
      <c r="B91" s="169" t="s">
        <v>24</v>
      </c>
      <c r="C91" s="168" t="s">
        <v>69</v>
      </c>
      <c r="D91" s="168" t="s">
        <v>70</v>
      </c>
      <c r="E91" s="168" t="s">
        <v>71</v>
      </c>
      <c r="F91" s="168" t="s">
        <v>72</v>
      </c>
      <c r="H91" s="5" t="s">
        <v>383</v>
      </c>
      <c r="I91" s="107">
        <v>0.5</v>
      </c>
    </row>
    <row r="92" spans="1:21" ht="15.75" x14ac:dyDescent="0.3">
      <c r="B92" s="8" t="s">
        <v>360</v>
      </c>
      <c r="C92" s="9" t="s">
        <v>129</v>
      </c>
      <c r="D92" s="17">
        <v>0</v>
      </c>
      <c r="E92" s="17">
        <v>0</v>
      </c>
      <c r="F92" s="17">
        <v>0</v>
      </c>
    </row>
    <row r="93" spans="1:21" ht="15.75" x14ac:dyDescent="0.3">
      <c r="B93" s="8" t="s">
        <v>361</v>
      </c>
      <c r="C93" s="9" t="s">
        <v>129</v>
      </c>
      <c r="D93" s="17">
        <v>0</v>
      </c>
      <c r="E93" s="17">
        <v>0</v>
      </c>
      <c r="F93" s="17">
        <v>0</v>
      </c>
    </row>
    <row r="94" spans="1:21" ht="15.75" x14ac:dyDescent="0.3">
      <c r="B94" s="8" t="s">
        <v>362</v>
      </c>
      <c r="C94" s="9" t="s">
        <v>129</v>
      </c>
      <c r="D94" s="17">
        <v>0</v>
      </c>
      <c r="E94" s="17">
        <v>0</v>
      </c>
      <c r="F94" s="17">
        <v>0</v>
      </c>
      <c r="H94" s="11" t="s">
        <v>543</v>
      </c>
      <c r="I94" s="11"/>
      <c r="J94" s="11"/>
      <c r="K94" s="11"/>
    </row>
    <row r="95" spans="1:21" ht="15.75" x14ac:dyDescent="0.3">
      <c r="B95" s="8" t="s">
        <v>363</v>
      </c>
      <c r="C95" s="9" t="s">
        <v>129</v>
      </c>
      <c r="D95" s="17">
        <v>0</v>
      </c>
      <c r="E95" s="17">
        <v>0</v>
      </c>
      <c r="F95" s="17">
        <v>0</v>
      </c>
      <c r="H95" s="8" t="s">
        <v>544</v>
      </c>
      <c r="I95" s="9">
        <v>3</v>
      </c>
    </row>
    <row r="96" spans="1:21" ht="15.75" x14ac:dyDescent="0.3">
      <c r="B96" s="8" t="s">
        <v>3</v>
      </c>
      <c r="C96" s="9" t="s">
        <v>129</v>
      </c>
      <c r="D96" s="17">
        <v>0</v>
      </c>
      <c r="E96" s="17">
        <v>0</v>
      </c>
      <c r="F96" s="17">
        <v>0</v>
      </c>
      <c r="H96" s="5" t="s">
        <v>545</v>
      </c>
      <c r="I96" s="7">
        <v>6</v>
      </c>
    </row>
    <row r="97" spans="2:11" ht="15.75" x14ac:dyDescent="0.3">
      <c r="B97" s="8" t="s">
        <v>2</v>
      </c>
      <c r="C97" s="9" t="s">
        <v>129</v>
      </c>
      <c r="D97" s="17">
        <v>0</v>
      </c>
      <c r="E97" s="17">
        <v>0</v>
      </c>
      <c r="F97" s="17">
        <v>0</v>
      </c>
    </row>
    <row r="98" spans="2:11" ht="15.75" x14ac:dyDescent="0.3">
      <c r="B98" s="8" t="s">
        <v>0</v>
      </c>
      <c r="C98" s="9" t="s">
        <v>526</v>
      </c>
      <c r="D98" s="17">
        <v>0</v>
      </c>
      <c r="E98" s="17">
        <v>0</v>
      </c>
      <c r="F98" s="17">
        <v>0</v>
      </c>
      <c r="H98" s="169" t="s">
        <v>546</v>
      </c>
      <c r="I98" s="168" t="s">
        <v>547</v>
      </c>
      <c r="J98" s="168" t="s">
        <v>548</v>
      </c>
      <c r="K98" s="168" t="s">
        <v>549</v>
      </c>
    </row>
    <row r="99" spans="2:11" ht="15.75" x14ac:dyDescent="0.3">
      <c r="B99" s="8" t="s">
        <v>11</v>
      </c>
      <c r="C99" s="9" t="s">
        <v>129</v>
      </c>
      <c r="D99" s="17">
        <v>0</v>
      </c>
      <c r="E99" s="17">
        <v>0</v>
      </c>
      <c r="F99" s="17">
        <v>0</v>
      </c>
      <c r="H99" s="8" t="s">
        <v>69</v>
      </c>
      <c r="I99" s="9" t="s">
        <v>129</v>
      </c>
      <c r="J99" s="9" t="s">
        <v>129</v>
      </c>
      <c r="K99" s="9" t="s">
        <v>129</v>
      </c>
    </row>
    <row r="100" spans="2:11" ht="15.75" x14ac:dyDescent="0.3">
      <c r="B100" s="8" t="s">
        <v>25</v>
      </c>
      <c r="C100" s="9" t="s">
        <v>129</v>
      </c>
      <c r="D100" s="17">
        <v>0</v>
      </c>
      <c r="E100" s="17">
        <v>0</v>
      </c>
      <c r="F100" s="17">
        <v>0</v>
      </c>
      <c r="H100" s="8" t="s">
        <v>550</v>
      </c>
      <c r="I100" s="17">
        <v>0</v>
      </c>
      <c r="J100" s="17">
        <v>0</v>
      </c>
      <c r="K100" s="17">
        <v>0</v>
      </c>
    </row>
    <row r="101" spans="2:11" ht="15.75" x14ac:dyDescent="0.3">
      <c r="B101" s="8" t="s">
        <v>73</v>
      </c>
      <c r="C101" s="9" t="s">
        <v>129</v>
      </c>
      <c r="D101" s="17">
        <v>0</v>
      </c>
      <c r="E101" s="17">
        <v>0</v>
      </c>
      <c r="F101" s="17">
        <v>0</v>
      </c>
      <c r="H101" s="8" t="s">
        <v>551</v>
      </c>
      <c r="I101" s="17">
        <v>0</v>
      </c>
      <c r="J101" s="17">
        <v>0</v>
      </c>
      <c r="K101" s="17">
        <v>0</v>
      </c>
    </row>
    <row r="102" spans="2:11" ht="15.75" x14ac:dyDescent="0.3">
      <c r="B102" s="8" t="s">
        <v>74</v>
      </c>
      <c r="C102" s="9" t="s">
        <v>129</v>
      </c>
      <c r="D102" s="17">
        <v>0</v>
      </c>
      <c r="E102" s="17">
        <v>0</v>
      </c>
      <c r="F102" s="17">
        <v>0</v>
      </c>
      <c r="H102" s="5" t="s">
        <v>552</v>
      </c>
      <c r="I102" s="10">
        <v>0</v>
      </c>
      <c r="J102" s="10">
        <v>0</v>
      </c>
      <c r="K102" s="10">
        <v>0</v>
      </c>
    </row>
    <row r="103" spans="2:11" ht="15.75" x14ac:dyDescent="0.3">
      <c r="B103" s="8" t="s">
        <v>75</v>
      </c>
      <c r="C103" s="9" t="s">
        <v>129</v>
      </c>
      <c r="D103" s="17">
        <v>0</v>
      </c>
      <c r="E103" s="17">
        <v>0</v>
      </c>
      <c r="F103" s="17">
        <v>0</v>
      </c>
    </row>
    <row r="104" spans="2:11" ht="15.75" x14ac:dyDescent="0.3">
      <c r="B104" s="8" t="s">
        <v>26</v>
      </c>
      <c r="C104" s="9" t="s">
        <v>129</v>
      </c>
      <c r="D104" s="17">
        <v>0</v>
      </c>
      <c r="E104" s="17">
        <v>0</v>
      </c>
      <c r="F104" s="17">
        <v>0</v>
      </c>
    </row>
    <row r="105" spans="2:11" ht="15.75" x14ac:dyDescent="0.3">
      <c r="B105" s="5" t="s">
        <v>27</v>
      </c>
      <c r="C105" s="7" t="s">
        <v>129</v>
      </c>
      <c r="D105" s="10">
        <v>0</v>
      </c>
      <c r="E105" s="10">
        <v>0</v>
      </c>
      <c r="F105" s="10">
        <v>0</v>
      </c>
    </row>
  </sheetData>
  <mergeCells count="1">
    <mergeCell ref="H34:I34"/>
  </mergeCells>
  <conditionalFormatting sqref="C16">
    <cfRule type="expression" dxfId="18" priority="1">
      <formula>$I$36=1</formula>
    </cfRule>
  </conditionalFormatting>
  <conditionalFormatting sqref="C18">
    <cfRule type="expression" dxfId="17" priority="2">
      <formula>$I$36=1</formula>
    </cfRule>
  </conditionalFormatting>
  <conditionalFormatting sqref="C19">
    <cfRule type="expression" dxfId="16" priority="3">
      <formula>$I$36=1</formula>
    </cfRule>
  </conditionalFormatting>
  <conditionalFormatting sqref="C20">
    <cfRule type="expression" dxfId="15" priority="4">
      <formula>$I$36=1</formula>
    </cfRule>
  </conditionalFormatting>
  <conditionalFormatting sqref="C21">
    <cfRule type="expression" dxfId="14" priority="5">
      <formula>$I$36=1</formula>
    </cfRule>
  </conditionalFormatting>
  <conditionalFormatting sqref="C22">
    <cfRule type="expression" dxfId="13" priority="6">
      <formula>$I$36=1</formula>
    </cfRule>
  </conditionalFormatting>
  <conditionalFormatting sqref="I39">
    <cfRule type="expression" dxfId="12" priority="7">
      <formula>$I$36=0</formula>
    </cfRule>
  </conditionalFormatting>
  <conditionalFormatting sqref="I40">
    <cfRule type="expression" dxfId="11" priority="8">
      <formula>$I$36=0</formula>
    </cfRule>
  </conditionalFormatting>
  <conditionalFormatting sqref="I41">
    <cfRule type="expression" dxfId="10" priority="9">
      <formula>$I$36=0</formula>
    </cfRule>
  </conditionalFormatting>
  <conditionalFormatting sqref="I42">
    <cfRule type="expression" dxfId="9" priority="10">
      <formula>$I$36=0</formula>
    </cfRule>
  </conditionalFormatting>
  <conditionalFormatting sqref="I43">
    <cfRule type="expression" dxfId="8" priority="11">
      <formula>$I$36=0</formula>
    </cfRule>
  </conditionalFormatting>
  <conditionalFormatting sqref="I44">
    <cfRule type="expression" dxfId="7" priority="12">
      <formula>$I$36=0</formula>
    </cfRule>
  </conditionalFormatting>
  <conditionalFormatting sqref="I45">
    <cfRule type="expression" dxfId="6" priority="13">
      <formula>$I$36=0</formula>
    </cfRule>
  </conditionalFormatting>
  <conditionalFormatting sqref="I46">
    <cfRule type="expression" dxfId="5" priority="14">
      <formula>$I$36=0</formula>
    </cfRule>
  </conditionalFormatting>
  <conditionalFormatting sqref="I47">
    <cfRule type="expression" dxfId="4" priority="15">
      <formula>$I$36=0</formula>
    </cfRule>
  </conditionalFormatting>
  <conditionalFormatting sqref="I50">
    <cfRule type="expression" dxfId="3" priority="16">
      <formula>$I$36=0</formula>
    </cfRule>
  </conditionalFormatting>
  <conditionalFormatting sqref="I51">
    <cfRule type="expression" dxfId="2" priority="17">
      <formula>$I$36=0</formula>
    </cfRule>
  </conditionalFormatting>
  <conditionalFormatting sqref="I52">
    <cfRule type="expression" dxfId="1" priority="18">
      <formula>$I$36=0</formula>
    </cfRule>
  </conditionalFormatting>
  <conditionalFormatting sqref="I53">
    <cfRule type="expression" dxfId="0" priority="19">
      <formula>$I$36=0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22BDD-415D-4DEC-A6FD-DC9B26701F10}">
  <sheetPr codeName="Sheet1"/>
  <dimension ref="B1:P151"/>
  <sheetViews>
    <sheetView showGridLines="0" topLeftCell="I1" zoomScaleNormal="100" workbookViewId="0">
      <pane ySplit="3" topLeftCell="A105" activePane="bottomLeft" state="frozen"/>
      <selection pane="bottomLeft" activeCell="I14" sqref="I14"/>
    </sheetView>
  </sheetViews>
  <sheetFormatPr defaultRowHeight="15" x14ac:dyDescent="0.25"/>
  <cols>
    <col min="1" max="1" width="1.5703125" customWidth="1"/>
    <col min="2" max="2" width="5.7109375" customWidth="1"/>
    <col min="3" max="3" width="30.42578125" customWidth="1"/>
    <col min="4" max="4" width="49.5703125" customWidth="1"/>
    <col min="5" max="5" width="19" customWidth="1"/>
    <col min="6" max="7" width="1.5703125" customWidth="1"/>
    <col min="8" max="8" width="41.85546875" customWidth="1"/>
    <col min="9" max="9" width="39.7109375" bestFit="1" customWidth="1"/>
    <col min="10" max="10" width="34.28515625" customWidth="1"/>
    <col min="12" max="12" width="43.85546875" customWidth="1"/>
    <col min="13" max="13" width="1.85546875" customWidth="1"/>
    <col min="14" max="15" width="19" customWidth="1"/>
    <col min="16" max="16" width="43.85546875" customWidth="1"/>
  </cols>
  <sheetData>
    <row r="1" spans="2:10" ht="18" x14ac:dyDescent="0.25">
      <c r="B1" s="3" t="s">
        <v>357</v>
      </c>
      <c r="H1" s="195" t="s">
        <v>165</v>
      </c>
      <c r="I1" s="195"/>
      <c r="J1" s="195"/>
    </row>
    <row r="2" spans="2:10" x14ac:dyDescent="0.25">
      <c r="H2" s="35"/>
      <c r="I2" s="35"/>
      <c r="J2" s="35"/>
    </row>
    <row r="3" spans="2:10" x14ac:dyDescent="0.25">
      <c r="B3" s="62" t="s">
        <v>130</v>
      </c>
      <c r="C3" s="62" t="s">
        <v>131</v>
      </c>
      <c r="D3" s="62" t="s">
        <v>132</v>
      </c>
      <c r="E3" s="62" t="s">
        <v>270</v>
      </c>
      <c r="H3" s="196" t="s">
        <v>166</v>
      </c>
      <c r="I3" s="196"/>
      <c r="J3" s="196"/>
    </row>
    <row r="4" spans="2:10" x14ac:dyDescent="0.25">
      <c r="B4" s="69" t="s">
        <v>272</v>
      </c>
      <c r="C4" s="69"/>
      <c r="D4" s="69"/>
      <c r="E4" s="69"/>
      <c r="H4" s="42" t="s">
        <v>167</v>
      </c>
      <c r="I4" s="42" t="s">
        <v>168</v>
      </c>
      <c r="J4" s="42" t="s">
        <v>169</v>
      </c>
    </row>
    <row r="5" spans="2:10" ht="15.75" x14ac:dyDescent="0.3">
      <c r="B5" s="63">
        <v>1</v>
      </c>
      <c r="C5" s="64" t="s">
        <v>93</v>
      </c>
      <c r="D5" s="65" t="s">
        <v>273</v>
      </c>
      <c r="E5" s="70">
        <f>I5</f>
        <v>0</v>
      </c>
      <c r="H5" s="45" t="s">
        <v>93</v>
      </c>
      <c r="I5" s="46">
        <f>Assumptions!F4</f>
        <v>0</v>
      </c>
      <c r="J5" s="47" t="s">
        <v>170</v>
      </c>
    </row>
    <row r="6" spans="2:10" ht="15.75" x14ac:dyDescent="0.3">
      <c r="B6" s="63">
        <v>2</v>
      </c>
      <c r="C6" s="64" t="s">
        <v>48</v>
      </c>
      <c r="D6" s="65" t="s">
        <v>274</v>
      </c>
      <c r="E6" s="70">
        <f>I6</f>
        <v>0</v>
      </c>
      <c r="H6" s="40" t="s">
        <v>48</v>
      </c>
      <c r="I6" s="48">
        <f>Assumptions!F5</f>
        <v>0</v>
      </c>
      <c r="J6" s="49" t="s">
        <v>171</v>
      </c>
    </row>
    <row r="7" spans="2:10" ht="15.75" x14ac:dyDescent="0.3">
      <c r="B7" s="63">
        <v>3</v>
      </c>
      <c r="C7" s="64" t="s">
        <v>49</v>
      </c>
      <c r="D7" s="65" t="s">
        <v>275</v>
      </c>
      <c r="E7" s="70">
        <f>I7</f>
        <v>0</v>
      </c>
      <c r="H7" s="40" t="s">
        <v>49</v>
      </c>
      <c r="I7" s="48">
        <f>Assumptions!F6</f>
        <v>0</v>
      </c>
      <c r="J7" s="49" t="s">
        <v>172</v>
      </c>
    </row>
    <row r="8" spans="2:10" ht="15.75" x14ac:dyDescent="0.3">
      <c r="B8" s="63">
        <v>4</v>
      </c>
      <c r="C8" s="64" t="s">
        <v>181</v>
      </c>
      <c r="D8" s="65" t="s">
        <v>276</v>
      </c>
      <c r="E8" s="74" t="e">
        <f>I52</f>
        <v>#DIV/0!</v>
      </c>
      <c r="H8" s="40" t="s">
        <v>50</v>
      </c>
      <c r="I8" s="48">
        <f>Assumptions!F7</f>
        <v>0</v>
      </c>
      <c r="J8" s="49" t="s">
        <v>173</v>
      </c>
    </row>
    <row r="9" spans="2:10" ht="15.75" x14ac:dyDescent="0.3">
      <c r="B9" s="63">
        <v>5</v>
      </c>
      <c r="C9" s="64" t="s">
        <v>50</v>
      </c>
      <c r="D9" s="65" t="s">
        <v>277</v>
      </c>
      <c r="E9" s="70">
        <f>I8</f>
        <v>0</v>
      </c>
      <c r="H9" s="40" t="s">
        <v>51</v>
      </c>
      <c r="I9" s="48">
        <f>Assumptions!F8</f>
        <v>0</v>
      </c>
      <c r="J9" s="49" t="s">
        <v>564</v>
      </c>
    </row>
    <row r="10" spans="2:10" ht="15.75" x14ac:dyDescent="0.3">
      <c r="B10" s="63">
        <v>6</v>
      </c>
      <c r="C10" s="64" t="s">
        <v>52</v>
      </c>
      <c r="D10" s="65" t="s">
        <v>278</v>
      </c>
      <c r="E10" s="70">
        <f>I10</f>
        <v>0</v>
      </c>
      <c r="H10" s="40" t="s">
        <v>52</v>
      </c>
      <c r="I10" s="48">
        <f>Assumptions!F9</f>
        <v>0</v>
      </c>
      <c r="J10" s="49" t="s">
        <v>565</v>
      </c>
    </row>
    <row r="11" spans="2:10" ht="15.75" x14ac:dyDescent="0.3">
      <c r="B11" s="63">
        <v>7</v>
      </c>
      <c r="C11" s="64" t="s">
        <v>53</v>
      </c>
      <c r="D11" s="65" t="s">
        <v>279</v>
      </c>
      <c r="E11" s="70">
        <f>I11</f>
        <v>0</v>
      </c>
      <c r="H11" s="40" t="s">
        <v>53</v>
      </c>
      <c r="I11" s="48">
        <f>Assumptions!F10</f>
        <v>0</v>
      </c>
      <c r="J11" s="49" t="s">
        <v>566</v>
      </c>
    </row>
    <row r="12" spans="2:10" ht="15.75" x14ac:dyDescent="0.3">
      <c r="B12" s="63">
        <v>8</v>
      </c>
      <c r="C12" s="64" t="s">
        <v>54</v>
      </c>
      <c r="D12" s="65" t="s">
        <v>280</v>
      </c>
      <c r="E12" s="70">
        <f>I12</f>
        <v>0</v>
      </c>
      <c r="H12" s="40" t="s">
        <v>54</v>
      </c>
      <c r="I12" s="48">
        <f>Assumptions!F11</f>
        <v>0</v>
      </c>
      <c r="J12" s="49" t="s">
        <v>567</v>
      </c>
    </row>
    <row r="13" spans="2:10" ht="15.75" x14ac:dyDescent="0.3">
      <c r="B13" s="63">
        <v>9</v>
      </c>
      <c r="C13" s="64" t="s">
        <v>56</v>
      </c>
      <c r="D13" s="65" t="s">
        <v>281</v>
      </c>
      <c r="E13" s="70">
        <f>I14</f>
        <v>0</v>
      </c>
      <c r="H13" s="40" t="s">
        <v>55</v>
      </c>
      <c r="I13" s="48">
        <f>Assumptions!F12</f>
        <v>0</v>
      </c>
      <c r="J13" s="49" t="s">
        <v>568</v>
      </c>
    </row>
    <row r="14" spans="2:10" ht="15.75" x14ac:dyDescent="0.3">
      <c r="B14" s="63">
        <v>10</v>
      </c>
      <c r="C14" s="64" t="s">
        <v>57</v>
      </c>
      <c r="D14" s="65" t="s">
        <v>282</v>
      </c>
      <c r="E14" s="70">
        <f>I15</f>
        <v>0</v>
      </c>
      <c r="H14" s="40" t="s">
        <v>56</v>
      </c>
      <c r="I14" s="48">
        <f>Assumptions!F13</f>
        <v>0</v>
      </c>
      <c r="J14" s="49" t="s">
        <v>569</v>
      </c>
    </row>
    <row r="15" spans="2:10" ht="15.75" x14ac:dyDescent="0.3">
      <c r="B15" s="63">
        <v>11</v>
      </c>
      <c r="C15" s="64" t="s">
        <v>94</v>
      </c>
      <c r="D15" s="65" t="s">
        <v>283</v>
      </c>
      <c r="E15" s="70">
        <f>I16</f>
        <v>0</v>
      </c>
      <c r="H15" s="40" t="s">
        <v>57</v>
      </c>
      <c r="I15" s="48">
        <f>Assumptions!F14</f>
        <v>0</v>
      </c>
      <c r="J15" s="49" t="s">
        <v>570</v>
      </c>
    </row>
    <row r="16" spans="2:10" ht="15.75" x14ac:dyDescent="0.3">
      <c r="B16" s="63">
        <v>12</v>
      </c>
      <c r="C16" s="64" t="s">
        <v>58</v>
      </c>
      <c r="D16" s="65" t="s">
        <v>284</v>
      </c>
      <c r="E16" s="70">
        <f>I17</f>
        <v>0</v>
      </c>
      <c r="H16" s="40" t="s">
        <v>94</v>
      </c>
      <c r="I16" s="48">
        <f>Assumptions!F15</f>
        <v>0</v>
      </c>
      <c r="J16" s="49" t="s">
        <v>571</v>
      </c>
    </row>
    <row r="17" spans="2:10" ht="15.75" x14ac:dyDescent="0.3">
      <c r="B17" s="63">
        <v>13</v>
      </c>
      <c r="C17" s="64" t="s">
        <v>95</v>
      </c>
      <c r="D17" s="65" t="s">
        <v>285</v>
      </c>
      <c r="E17" s="70">
        <f>I18</f>
        <v>0</v>
      </c>
      <c r="H17" s="40" t="s">
        <v>58</v>
      </c>
      <c r="I17" s="48">
        <f>Assumptions!F16</f>
        <v>0</v>
      </c>
      <c r="J17" s="49" t="s">
        <v>572</v>
      </c>
    </row>
    <row r="18" spans="2:10" x14ac:dyDescent="0.25">
      <c r="B18" s="69" t="s">
        <v>286</v>
      </c>
      <c r="C18" s="69"/>
      <c r="D18" s="69"/>
      <c r="E18" s="69"/>
      <c r="H18" s="40" t="s">
        <v>95</v>
      </c>
      <c r="I18" s="48">
        <f>Assumptions!F17</f>
        <v>0</v>
      </c>
      <c r="J18" s="49" t="s">
        <v>573</v>
      </c>
    </row>
    <row r="19" spans="2:10" ht="15.75" x14ac:dyDescent="0.3">
      <c r="B19" s="63">
        <v>14</v>
      </c>
      <c r="C19" s="64" t="s">
        <v>287</v>
      </c>
      <c r="D19" s="65" t="s">
        <v>288</v>
      </c>
      <c r="E19" s="70">
        <f>N117</f>
        <v>0</v>
      </c>
      <c r="H19" s="40" t="s">
        <v>96</v>
      </c>
      <c r="I19" s="48">
        <f>Assumptions!F18</f>
        <v>0</v>
      </c>
      <c r="J19" s="49" t="s">
        <v>574</v>
      </c>
    </row>
    <row r="20" spans="2:10" ht="15.75" x14ac:dyDescent="0.3">
      <c r="B20" s="63">
        <v>15</v>
      </c>
      <c r="C20" s="64" t="s">
        <v>289</v>
      </c>
      <c r="D20" s="65" t="s">
        <v>290</v>
      </c>
      <c r="E20" s="70">
        <f>N132</f>
        <v>0</v>
      </c>
      <c r="H20" s="40" t="s">
        <v>97</v>
      </c>
      <c r="I20" s="48">
        <f>Assumptions!F19</f>
        <v>0</v>
      </c>
      <c r="J20" s="49" t="s">
        <v>575</v>
      </c>
    </row>
    <row r="21" spans="2:10" ht="15.75" x14ac:dyDescent="0.3">
      <c r="B21" s="63">
        <v>16</v>
      </c>
      <c r="C21" s="64" t="s">
        <v>291</v>
      </c>
      <c r="D21" s="65" t="s">
        <v>292</v>
      </c>
      <c r="E21" s="70">
        <f>N134</f>
        <v>0</v>
      </c>
      <c r="H21" s="35"/>
      <c r="I21" s="35"/>
      <c r="J21" s="35"/>
    </row>
    <row r="22" spans="2:10" ht="15.75" x14ac:dyDescent="0.3">
      <c r="B22" s="63">
        <v>17</v>
      </c>
      <c r="C22" s="64" t="s">
        <v>236</v>
      </c>
      <c r="D22" s="65" t="s">
        <v>293</v>
      </c>
      <c r="E22" s="70">
        <f>N139</f>
        <v>0</v>
      </c>
      <c r="H22" s="193" t="s">
        <v>174</v>
      </c>
      <c r="I22" s="193"/>
      <c r="J22" s="193"/>
    </row>
    <row r="23" spans="2:10" ht="15.75" x14ac:dyDescent="0.3">
      <c r="B23" s="63">
        <v>18</v>
      </c>
      <c r="C23" s="64" t="s">
        <v>237</v>
      </c>
      <c r="D23" s="65" t="s">
        <v>294</v>
      </c>
      <c r="E23" s="70">
        <f>N140</f>
        <v>0</v>
      </c>
      <c r="H23" s="42" t="s">
        <v>175</v>
      </c>
      <c r="I23" s="42" t="s">
        <v>176</v>
      </c>
      <c r="J23" s="42" t="s">
        <v>169</v>
      </c>
    </row>
    <row r="24" spans="2:10" ht="15.75" x14ac:dyDescent="0.3">
      <c r="B24" s="63">
        <v>19</v>
      </c>
      <c r="C24" s="64" t="s">
        <v>295</v>
      </c>
      <c r="D24" s="65" t="s">
        <v>296</v>
      </c>
      <c r="E24" s="70">
        <f>N141</f>
        <v>0</v>
      </c>
      <c r="H24" s="45" t="s">
        <v>177</v>
      </c>
      <c r="I24" s="102">
        <f>Assumptions!C43</f>
        <v>0</v>
      </c>
      <c r="J24" s="47" t="s">
        <v>576</v>
      </c>
    </row>
    <row r="25" spans="2:10" ht="15.75" x14ac:dyDescent="0.3">
      <c r="B25" s="63">
        <v>20</v>
      </c>
      <c r="C25" s="64" t="s">
        <v>239</v>
      </c>
      <c r="D25" s="65" t="s">
        <v>297</v>
      </c>
      <c r="E25" s="70">
        <f>N143</f>
        <v>0</v>
      </c>
      <c r="H25" s="40" t="s">
        <v>179</v>
      </c>
      <c r="I25" s="103">
        <f>Assumptions!C44</f>
        <v>0</v>
      </c>
      <c r="J25" s="49" t="s">
        <v>577</v>
      </c>
    </row>
    <row r="26" spans="2:10" ht="15.75" x14ac:dyDescent="0.3">
      <c r="B26" s="63">
        <v>21</v>
      </c>
      <c r="C26" s="64" t="s">
        <v>240</v>
      </c>
      <c r="D26" s="65" t="s">
        <v>298</v>
      </c>
      <c r="E26" s="70">
        <f>N144</f>
        <v>0</v>
      </c>
      <c r="H26" s="40" t="s">
        <v>2</v>
      </c>
      <c r="I26" s="103">
        <f>Assumptions!C17</f>
        <v>0</v>
      </c>
      <c r="J26" s="49" t="s">
        <v>180</v>
      </c>
    </row>
    <row r="27" spans="2:10" ht="15.75" x14ac:dyDescent="0.3">
      <c r="B27" s="63">
        <v>22</v>
      </c>
      <c r="C27" s="64" t="s">
        <v>164</v>
      </c>
      <c r="D27" s="65" t="s">
        <v>299</v>
      </c>
      <c r="E27" s="70">
        <f>N145</f>
        <v>0</v>
      </c>
      <c r="H27" s="40" t="s">
        <v>181</v>
      </c>
      <c r="I27" s="103">
        <f>Assumptions!C16</f>
        <v>0</v>
      </c>
      <c r="J27" s="49" t="s">
        <v>178</v>
      </c>
    </row>
    <row r="28" spans="2:10" ht="15.75" x14ac:dyDescent="0.3">
      <c r="B28" s="63">
        <v>23</v>
      </c>
      <c r="C28" s="64" t="s">
        <v>259</v>
      </c>
      <c r="D28" s="65" t="s">
        <v>260</v>
      </c>
      <c r="E28" s="70">
        <f>N148</f>
        <v>0</v>
      </c>
      <c r="H28" s="40" t="s">
        <v>90</v>
      </c>
      <c r="I28" s="103">
        <f>Assumptions!C18</f>
        <v>0</v>
      </c>
      <c r="J28" s="49" t="s">
        <v>578</v>
      </c>
    </row>
    <row r="29" spans="2:10" ht="15.75" x14ac:dyDescent="0.3">
      <c r="B29" s="63">
        <v>24</v>
      </c>
      <c r="C29" s="64" t="s">
        <v>261</v>
      </c>
      <c r="D29" s="65" t="s">
        <v>260</v>
      </c>
      <c r="E29" s="70">
        <f>N149</f>
        <v>0</v>
      </c>
      <c r="H29" s="40" t="s">
        <v>92</v>
      </c>
      <c r="I29" s="103">
        <f>Assumptions!C20</f>
        <v>0</v>
      </c>
      <c r="J29" s="49" t="s">
        <v>184</v>
      </c>
    </row>
    <row r="30" spans="2:10" ht="15.75" x14ac:dyDescent="0.3">
      <c r="B30" s="63">
        <v>25</v>
      </c>
      <c r="C30" s="64" t="s">
        <v>262</v>
      </c>
      <c r="D30" s="65" t="s">
        <v>260</v>
      </c>
      <c r="E30" s="70">
        <f>N150</f>
        <v>0</v>
      </c>
      <c r="H30" s="40" t="s">
        <v>25</v>
      </c>
      <c r="I30" s="103">
        <f>Assumptions!C21</f>
        <v>0</v>
      </c>
      <c r="J30" s="49" t="s">
        <v>186</v>
      </c>
    </row>
    <row r="31" spans="2:10" x14ac:dyDescent="0.25">
      <c r="B31" s="69" t="s">
        <v>133</v>
      </c>
      <c r="C31" s="69"/>
      <c r="D31" s="69"/>
      <c r="E31" s="69"/>
      <c r="H31" s="40" t="s">
        <v>73</v>
      </c>
      <c r="I31" s="103">
        <f>Assumptions!C22</f>
        <v>0</v>
      </c>
      <c r="J31" s="49" t="s">
        <v>187</v>
      </c>
    </row>
    <row r="32" spans="2:10" ht="15.75" x14ac:dyDescent="0.3">
      <c r="B32" s="63">
        <v>26</v>
      </c>
      <c r="C32" s="64" t="s">
        <v>199</v>
      </c>
      <c r="D32" s="65" t="s">
        <v>300</v>
      </c>
      <c r="E32" s="75">
        <f>I49</f>
        <v>0</v>
      </c>
      <c r="H32" s="40" t="s">
        <v>74</v>
      </c>
      <c r="I32" s="103">
        <f>Assumptions!C23</f>
        <v>0</v>
      </c>
      <c r="J32" s="49" t="s">
        <v>183</v>
      </c>
    </row>
    <row r="33" spans="2:10" ht="15.75" x14ac:dyDescent="0.3">
      <c r="B33" s="63">
        <v>27</v>
      </c>
      <c r="C33" s="64" t="s">
        <v>134</v>
      </c>
      <c r="D33" s="65" t="s">
        <v>301</v>
      </c>
      <c r="E33" s="70">
        <f>I75</f>
        <v>0</v>
      </c>
      <c r="H33" s="40" t="s">
        <v>10</v>
      </c>
      <c r="I33" s="103">
        <f>Assumptions!C50</f>
        <v>0</v>
      </c>
      <c r="J33" s="49" t="s">
        <v>579</v>
      </c>
    </row>
    <row r="34" spans="2:10" ht="15.75" x14ac:dyDescent="0.3">
      <c r="B34" s="63">
        <v>28</v>
      </c>
      <c r="C34" s="64" t="s">
        <v>302</v>
      </c>
      <c r="D34" s="65" t="s">
        <v>303</v>
      </c>
      <c r="E34" s="70">
        <f>I76</f>
        <v>0</v>
      </c>
      <c r="H34" s="40" t="s">
        <v>7</v>
      </c>
      <c r="I34" s="103">
        <f>Assumptions!C47</f>
        <v>0</v>
      </c>
      <c r="J34" s="49" t="s">
        <v>580</v>
      </c>
    </row>
    <row r="35" spans="2:10" ht="15.75" x14ac:dyDescent="0.3">
      <c r="B35" s="63">
        <v>29</v>
      </c>
      <c r="C35" s="64" t="s">
        <v>208</v>
      </c>
      <c r="D35" s="65" t="s">
        <v>304</v>
      </c>
      <c r="E35" s="70">
        <f>I55</f>
        <v>0</v>
      </c>
      <c r="H35" s="40" t="s">
        <v>185</v>
      </c>
      <c r="I35" s="103">
        <f>Assumptions!C48</f>
        <v>0</v>
      </c>
      <c r="J35" s="49" t="s">
        <v>581</v>
      </c>
    </row>
    <row r="36" spans="2:10" ht="15.75" x14ac:dyDescent="0.3">
      <c r="B36" s="63">
        <v>30</v>
      </c>
      <c r="C36" s="64" t="s">
        <v>305</v>
      </c>
      <c r="D36" s="65" t="s">
        <v>306</v>
      </c>
      <c r="E36" s="75">
        <f>I53</f>
        <v>0</v>
      </c>
      <c r="H36" s="40" t="s">
        <v>9</v>
      </c>
      <c r="I36" s="52">
        <f>Assumptions!C49</f>
        <v>0</v>
      </c>
      <c r="J36" s="49" t="s">
        <v>582</v>
      </c>
    </row>
    <row r="37" spans="2:10" ht="15.75" x14ac:dyDescent="0.3">
      <c r="B37" s="63">
        <v>31</v>
      </c>
      <c r="C37" s="64" t="s">
        <v>307</v>
      </c>
      <c r="D37" s="65" t="s">
        <v>308</v>
      </c>
      <c r="E37" s="75">
        <f>I54</f>
        <v>0</v>
      </c>
      <c r="H37" s="40" t="s">
        <v>89</v>
      </c>
      <c r="I37" s="103">
        <f>Assumptions!C51</f>
        <v>0</v>
      </c>
      <c r="J37" s="49" t="s">
        <v>583</v>
      </c>
    </row>
    <row r="38" spans="2:10" x14ac:dyDescent="0.25">
      <c r="B38" s="69" t="s">
        <v>135</v>
      </c>
      <c r="C38" s="69"/>
      <c r="D38" s="69"/>
      <c r="E38" s="69"/>
      <c r="H38" s="40" t="s">
        <v>188</v>
      </c>
      <c r="I38" s="52">
        <f>Assumptions!C7</f>
        <v>0</v>
      </c>
      <c r="J38" s="49" t="s">
        <v>189</v>
      </c>
    </row>
    <row r="39" spans="2:10" ht="15.75" x14ac:dyDescent="0.3">
      <c r="B39" s="63">
        <v>32</v>
      </c>
      <c r="C39" s="64" t="s">
        <v>136</v>
      </c>
      <c r="D39" s="65" t="s">
        <v>263</v>
      </c>
      <c r="E39" s="71" t="e">
        <f t="shared" ref="E39:E45" si="0">I65</f>
        <v>#DIV/0!</v>
      </c>
      <c r="H39" s="40" t="s">
        <v>190</v>
      </c>
      <c r="I39" s="52">
        <f>Assumptions!C8</f>
        <v>0</v>
      </c>
      <c r="J39" s="49" t="s">
        <v>191</v>
      </c>
    </row>
    <row r="40" spans="2:10" ht="15.75" x14ac:dyDescent="0.3">
      <c r="B40" s="63">
        <v>33</v>
      </c>
      <c r="C40" s="64" t="s">
        <v>137</v>
      </c>
      <c r="D40" s="65" t="s">
        <v>265</v>
      </c>
      <c r="E40" s="71" t="e">
        <f t="shared" si="0"/>
        <v>#DIV/0!</v>
      </c>
      <c r="H40" s="40" t="s">
        <v>115</v>
      </c>
      <c r="I40" s="52">
        <f>Assumptions!C6</f>
        <v>0</v>
      </c>
      <c r="J40" s="49" t="s">
        <v>192</v>
      </c>
    </row>
    <row r="41" spans="2:10" ht="15.75" x14ac:dyDescent="0.3">
      <c r="B41" s="63">
        <v>34</v>
      </c>
      <c r="C41" s="64" t="s">
        <v>138</v>
      </c>
      <c r="D41" s="65" t="s">
        <v>266</v>
      </c>
      <c r="E41" s="71" t="e">
        <f t="shared" si="0"/>
        <v>#DIV/0!</v>
      </c>
      <c r="H41" s="40" t="s">
        <v>117</v>
      </c>
      <c r="I41" s="52">
        <f>Assumptions!C5</f>
        <v>0</v>
      </c>
      <c r="J41" s="49" t="s">
        <v>193</v>
      </c>
    </row>
    <row r="42" spans="2:10" ht="15.75" x14ac:dyDescent="0.3">
      <c r="B42" s="63">
        <v>35</v>
      </c>
      <c r="C42" s="64" t="s">
        <v>139</v>
      </c>
      <c r="D42" s="65" t="s">
        <v>140</v>
      </c>
      <c r="E42" s="71" t="e">
        <f t="shared" si="0"/>
        <v>#DIV/0!</v>
      </c>
      <c r="H42" s="40" t="s">
        <v>20</v>
      </c>
      <c r="I42" s="103">
        <f>Assumptions!C31</f>
        <v>0</v>
      </c>
      <c r="J42" s="49" t="s">
        <v>182</v>
      </c>
    </row>
    <row r="43" spans="2:10" ht="15.75" x14ac:dyDescent="0.3">
      <c r="B43" s="63">
        <v>36</v>
      </c>
      <c r="C43" s="64" t="s">
        <v>309</v>
      </c>
      <c r="D43" s="65" t="s">
        <v>310</v>
      </c>
      <c r="E43" s="71" t="e">
        <f t="shared" si="0"/>
        <v>#DIV/0!</v>
      </c>
      <c r="H43" s="35"/>
      <c r="I43" s="35"/>
      <c r="J43" s="35"/>
    </row>
    <row r="44" spans="2:10" ht="15.75" x14ac:dyDescent="0.3">
      <c r="B44" s="63">
        <v>37</v>
      </c>
      <c r="C44" s="64" t="s">
        <v>141</v>
      </c>
      <c r="D44" s="65" t="s">
        <v>311</v>
      </c>
      <c r="E44" s="71" t="e">
        <f t="shared" si="0"/>
        <v>#DIV/0!</v>
      </c>
      <c r="H44" s="193" t="s">
        <v>194</v>
      </c>
      <c r="I44" s="193"/>
      <c r="J44" s="193"/>
    </row>
    <row r="45" spans="2:10" ht="15.75" x14ac:dyDescent="0.3">
      <c r="B45" s="63">
        <v>38</v>
      </c>
      <c r="C45" s="64" t="s">
        <v>143</v>
      </c>
      <c r="D45" s="65" t="s">
        <v>312</v>
      </c>
      <c r="E45" s="71" t="e">
        <f t="shared" si="0"/>
        <v>#DIV/0!</v>
      </c>
      <c r="H45" s="42" t="s">
        <v>167</v>
      </c>
      <c r="I45" s="42" t="s">
        <v>176</v>
      </c>
      <c r="J45" s="42" t="s">
        <v>195</v>
      </c>
    </row>
    <row r="46" spans="2:10" ht="15.75" x14ac:dyDescent="0.3">
      <c r="B46" s="63">
        <v>39</v>
      </c>
      <c r="C46" s="64" t="s">
        <v>313</v>
      </c>
      <c r="D46" s="65" t="s">
        <v>314</v>
      </c>
      <c r="E46" s="70">
        <f>I33*(1-I26)*(N144+O144)/2</f>
        <v>0</v>
      </c>
      <c r="H46" s="45" t="s">
        <v>196</v>
      </c>
      <c r="I46" s="46">
        <f>1+I24</f>
        <v>1</v>
      </c>
      <c r="J46" s="47" t="s">
        <v>220</v>
      </c>
    </row>
    <row r="47" spans="2:10" ht="15.75" x14ac:dyDescent="0.3">
      <c r="B47" s="63">
        <v>40</v>
      </c>
      <c r="C47" s="64" t="s">
        <v>144</v>
      </c>
      <c r="D47" s="65" t="s">
        <v>315</v>
      </c>
      <c r="E47" s="72" t="e">
        <f>(I49+I33*(1-I26)*(N144+O144)/2)/((N143+O143)/2)</f>
        <v>#DIV/0!</v>
      </c>
      <c r="H47" s="40" t="s">
        <v>197</v>
      </c>
      <c r="I47" s="48">
        <f>1+I33*(1-I26)</f>
        <v>1</v>
      </c>
      <c r="J47" s="49" t="s">
        <v>221</v>
      </c>
    </row>
    <row r="48" spans="2:10" ht="15.75" x14ac:dyDescent="0.3">
      <c r="B48" s="63">
        <v>41</v>
      </c>
      <c r="C48" s="64" t="s">
        <v>145</v>
      </c>
      <c r="D48" s="65" t="s">
        <v>146</v>
      </c>
      <c r="E48" s="72" t="e">
        <f>(I49+I33*(1-I26)*(N144+O144)/2)/((N143+O143)/2)-I33*(1-I26)</f>
        <v>#DIV/0!</v>
      </c>
      <c r="H48" s="40" t="s">
        <v>198</v>
      </c>
      <c r="I48" s="48">
        <f>I39-I38</f>
        <v>0</v>
      </c>
      <c r="J48" s="49" t="s">
        <v>222</v>
      </c>
    </row>
    <row r="49" spans="2:10" ht="15.75" x14ac:dyDescent="0.3">
      <c r="B49" s="63">
        <v>42</v>
      </c>
      <c r="C49" s="64" t="s">
        <v>142</v>
      </c>
      <c r="D49" s="65" t="s">
        <v>271</v>
      </c>
      <c r="E49" s="71" t="e">
        <f>E47+(E45*E48)</f>
        <v>#DIV/0!</v>
      </c>
      <c r="H49" s="40" t="s">
        <v>199</v>
      </c>
      <c r="I49" s="48">
        <f>I12*(1-I26)</f>
        <v>0</v>
      </c>
      <c r="J49" s="49" t="s">
        <v>223</v>
      </c>
    </row>
    <row r="50" spans="2:10" x14ac:dyDescent="0.25">
      <c r="B50" s="69" t="s">
        <v>316</v>
      </c>
      <c r="C50" s="69"/>
      <c r="D50" s="69"/>
      <c r="E50" s="69"/>
      <c r="H50" s="40" t="s">
        <v>200</v>
      </c>
      <c r="I50" s="80" t="e">
        <f>I12/I5</f>
        <v>#DIV/0!</v>
      </c>
      <c r="J50" s="49" t="s">
        <v>201</v>
      </c>
    </row>
    <row r="51" spans="2:10" ht="15.75" x14ac:dyDescent="0.3">
      <c r="B51" s="63">
        <v>43</v>
      </c>
      <c r="C51" s="64" t="s">
        <v>317</v>
      </c>
      <c r="D51" s="65" t="s">
        <v>201</v>
      </c>
      <c r="E51" s="99" t="e">
        <f>I50</f>
        <v>#DIV/0!</v>
      </c>
      <c r="H51" s="40" t="s">
        <v>202</v>
      </c>
      <c r="I51" s="80" t="e">
        <f>I12*(1-I26)/I5</f>
        <v>#DIV/0!</v>
      </c>
      <c r="J51" s="49" t="s">
        <v>203</v>
      </c>
    </row>
    <row r="52" spans="2:10" ht="15.75" x14ac:dyDescent="0.3">
      <c r="B52" s="63">
        <v>44</v>
      </c>
      <c r="C52" s="64" t="s">
        <v>202</v>
      </c>
      <c r="D52" s="65" t="s">
        <v>203</v>
      </c>
      <c r="E52" s="99" t="e">
        <f>I51</f>
        <v>#DIV/0!</v>
      </c>
      <c r="H52" s="40" t="s">
        <v>204</v>
      </c>
      <c r="I52" s="80" t="e">
        <f>I7/I5</f>
        <v>#DIV/0!</v>
      </c>
      <c r="J52" s="49" t="s">
        <v>205</v>
      </c>
    </row>
    <row r="53" spans="2:10" ht="15.75" x14ac:dyDescent="0.3">
      <c r="B53" s="63">
        <v>45</v>
      </c>
      <c r="C53" s="64" t="s">
        <v>147</v>
      </c>
      <c r="D53" s="65" t="s">
        <v>318</v>
      </c>
      <c r="E53" s="98" t="e">
        <f>I72</f>
        <v>#DIV/0!</v>
      </c>
      <c r="H53" s="40" t="s">
        <v>206</v>
      </c>
      <c r="I53" s="81">
        <f>I33*I39</f>
        <v>0</v>
      </c>
      <c r="J53" s="49" t="s">
        <v>224</v>
      </c>
    </row>
    <row r="54" spans="2:10" ht="15.75" x14ac:dyDescent="0.3">
      <c r="B54" s="63">
        <v>46</v>
      </c>
      <c r="C54" s="64" t="s">
        <v>319</v>
      </c>
      <c r="D54" s="65" t="s">
        <v>320</v>
      </c>
      <c r="E54" s="98" t="e">
        <f>I51*I72</f>
        <v>#DIV/0!</v>
      </c>
      <c r="H54" s="40" t="s">
        <v>207</v>
      </c>
      <c r="I54" s="81">
        <f>I33*(1-I26)*I39</f>
        <v>0</v>
      </c>
      <c r="J54" s="49" t="s">
        <v>225</v>
      </c>
    </row>
    <row r="55" spans="2:10" ht="15.75" x14ac:dyDescent="0.3">
      <c r="B55" s="63">
        <v>47</v>
      </c>
      <c r="C55" s="64" t="s">
        <v>148</v>
      </c>
      <c r="D55" s="65" t="s">
        <v>228</v>
      </c>
      <c r="E55" s="98">
        <f>I59</f>
        <v>0</v>
      </c>
      <c r="H55" s="40" t="s">
        <v>208</v>
      </c>
      <c r="I55" s="81">
        <f>I15-I18+I16</f>
        <v>0</v>
      </c>
      <c r="J55" s="49" t="s">
        <v>209</v>
      </c>
    </row>
    <row r="56" spans="2:10" x14ac:dyDescent="0.25">
      <c r="B56" s="69" t="s">
        <v>321</v>
      </c>
      <c r="C56" s="69"/>
      <c r="D56" s="69"/>
      <c r="E56" s="69"/>
      <c r="H56" s="40" t="s">
        <v>210</v>
      </c>
      <c r="I56" s="48">
        <f>I19-I20</f>
        <v>0</v>
      </c>
      <c r="J56" s="49" t="s">
        <v>211</v>
      </c>
    </row>
    <row r="57" spans="2:10" ht="15.75" x14ac:dyDescent="0.3">
      <c r="B57" s="63">
        <v>48</v>
      </c>
      <c r="C57" s="64" t="s">
        <v>149</v>
      </c>
      <c r="D57" s="65" t="s">
        <v>150</v>
      </c>
      <c r="E57" s="76" t="e">
        <f>365/(I5/((N105+O105)/2))</f>
        <v>#DIV/0!</v>
      </c>
      <c r="H57" s="40" t="s">
        <v>212</v>
      </c>
      <c r="I57" s="82">
        <f>I40*I41</f>
        <v>0</v>
      </c>
      <c r="J57" s="49" t="s">
        <v>226</v>
      </c>
    </row>
    <row r="58" spans="2:10" ht="15.75" x14ac:dyDescent="0.3">
      <c r="B58" s="63">
        <v>49</v>
      </c>
      <c r="C58" s="64" t="s">
        <v>151</v>
      </c>
      <c r="D58" s="65" t="s">
        <v>322</v>
      </c>
      <c r="E58" s="77" t="e">
        <f>I6/((N106+O106)/2)</f>
        <v>#DIV/0!</v>
      </c>
      <c r="H58" s="40" t="s">
        <v>213</v>
      </c>
      <c r="I58" s="82">
        <f>I40*I41+I39-I38</f>
        <v>0</v>
      </c>
      <c r="J58" s="49" t="s">
        <v>227</v>
      </c>
    </row>
    <row r="59" spans="2:10" ht="15.75" x14ac:dyDescent="0.3">
      <c r="B59" s="63">
        <v>50</v>
      </c>
      <c r="C59" s="64" t="s">
        <v>152</v>
      </c>
      <c r="D59" s="65" t="s">
        <v>323</v>
      </c>
      <c r="E59" s="77" t="e">
        <f>I6/((N120+O120)/2)</f>
        <v>#DIV/0!</v>
      </c>
      <c r="H59" s="40" t="s">
        <v>214</v>
      </c>
      <c r="I59" s="48">
        <f>I27-I28-I29-I26</f>
        <v>0</v>
      </c>
      <c r="J59" s="49" t="s">
        <v>228</v>
      </c>
    </row>
    <row r="60" spans="2:10" x14ac:dyDescent="0.25">
      <c r="B60" s="69" t="s">
        <v>324</v>
      </c>
      <c r="C60" s="69"/>
      <c r="D60" s="69"/>
      <c r="E60" s="69"/>
      <c r="H60" s="40" t="s">
        <v>215</v>
      </c>
      <c r="I60" s="82">
        <f>I40*I41</f>
        <v>0</v>
      </c>
      <c r="J60" s="49" t="s">
        <v>216</v>
      </c>
    </row>
    <row r="61" spans="2:10" ht="15.75" x14ac:dyDescent="0.3">
      <c r="B61" s="63">
        <v>51</v>
      </c>
      <c r="C61" s="64" t="s">
        <v>153</v>
      </c>
      <c r="D61" s="65" t="s">
        <v>325</v>
      </c>
      <c r="E61" s="70">
        <f>I74</f>
        <v>0</v>
      </c>
      <c r="H61" s="40" t="s">
        <v>217</v>
      </c>
      <c r="I61" s="48" t="e">
        <f>N134/I60</f>
        <v>#DIV/0!</v>
      </c>
      <c r="J61" s="49" t="s">
        <v>218</v>
      </c>
    </row>
    <row r="62" spans="2:10" ht="15.75" x14ac:dyDescent="0.3">
      <c r="B62" s="63">
        <v>52</v>
      </c>
      <c r="C62" s="64" t="s">
        <v>154</v>
      </c>
      <c r="D62" s="65" t="s">
        <v>326</v>
      </c>
      <c r="E62" s="71" t="e">
        <f>N145/O145</f>
        <v>#DIV/0!</v>
      </c>
      <c r="H62" s="35"/>
      <c r="I62" s="35"/>
      <c r="J62" s="35"/>
    </row>
    <row r="63" spans="2:10" ht="15.75" x14ac:dyDescent="0.3">
      <c r="B63" s="63">
        <v>53</v>
      </c>
      <c r="C63" s="64" t="s">
        <v>159</v>
      </c>
      <c r="D63" s="65" t="s">
        <v>327</v>
      </c>
      <c r="E63" s="70" t="e">
        <f>I65*N145</f>
        <v>#DIV/0!</v>
      </c>
      <c r="H63" s="193" t="s">
        <v>347</v>
      </c>
      <c r="I63" s="193"/>
      <c r="J63" s="193"/>
    </row>
    <row r="64" spans="2:10" ht="15.75" x14ac:dyDescent="0.3">
      <c r="B64" s="63">
        <v>54</v>
      </c>
      <c r="C64" s="64" t="s">
        <v>160</v>
      </c>
      <c r="D64" s="65" t="s">
        <v>328</v>
      </c>
      <c r="E64" s="70" t="e">
        <f>(I65-I24)*N145</f>
        <v>#DIV/0!</v>
      </c>
      <c r="H64" s="95" t="s">
        <v>348</v>
      </c>
      <c r="I64" s="95" t="s">
        <v>176</v>
      </c>
      <c r="J64" s="95" t="s">
        <v>195</v>
      </c>
    </row>
    <row r="65" spans="2:10" ht="15.75" x14ac:dyDescent="0.3">
      <c r="B65" s="63">
        <v>55</v>
      </c>
      <c r="C65" s="64" t="s">
        <v>329</v>
      </c>
      <c r="D65" s="65" t="s">
        <v>330</v>
      </c>
      <c r="E65" s="73" t="e">
        <f>N145/O145-1</f>
        <v>#DIV/0!</v>
      </c>
      <c r="H65" s="45" t="s">
        <v>136</v>
      </c>
      <c r="I65" s="86" t="e">
        <f>I49/N148</f>
        <v>#DIV/0!</v>
      </c>
      <c r="J65" s="84" t="s">
        <v>263</v>
      </c>
    </row>
    <row r="66" spans="2:10" x14ac:dyDescent="0.25">
      <c r="B66" s="69" t="s">
        <v>155</v>
      </c>
      <c r="C66" s="69"/>
      <c r="D66" s="69"/>
      <c r="E66" s="69"/>
      <c r="H66" s="40" t="s">
        <v>137</v>
      </c>
      <c r="I66" s="87" t="e">
        <f>N150/N149</f>
        <v>#DIV/0!</v>
      </c>
      <c r="J66" s="85" t="s">
        <v>265</v>
      </c>
    </row>
    <row r="67" spans="2:10" ht="15.75" x14ac:dyDescent="0.3">
      <c r="B67" s="63">
        <v>56</v>
      </c>
      <c r="C67" s="64" t="s">
        <v>156</v>
      </c>
      <c r="D67" s="65" t="s">
        <v>331</v>
      </c>
      <c r="E67" s="70" t="e">
        <f>I77</f>
        <v>#DIV/0!</v>
      </c>
      <c r="H67" s="40" t="s">
        <v>138</v>
      </c>
      <c r="I67" s="88" t="e">
        <f>I54/N150</f>
        <v>#DIV/0!</v>
      </c>
      <c r="J67" s="85" t="s">
        <v>266</v>
      </c>
    </row>
    <row r="68" spans="2:10" ht="15.75" x14ac:dyDescent="0.3">
      <c r="B68" s="63">
        <v>57</v>
      </c>
      <c r="C68" s="64" t="s">
        <v>157</v>
      </c>
      <c r="D68" s="65" t="s">
        <v>332</v>
      </c>
      <c r="E68" s="70" t="e">
        <f>I79</f>
        <v>#DIV/0!</v>
      </c>
      <c r="H68" s="40" t="s">
        <v>139</v>
      </c>
      <c r="I68" s="87" t="e">
        <f>I65-I67</f>
        <v>#DIV/0!</v>
      </c>
      <c r="J68" s="85" t="s">
        <v>140</v>
      </c>
    </row>
    <row r="69" spans="2:10" ht="15.75" x14ac:dyDescent="0.3">
      <c r="B69" s="63">
        <v>58</v>
      </c>
      <c r="C69" s="64" t="s">
        <v>219</v>
      </c>
      <c r="D69" s="65" t="s">
        <v>333</v>
      </c>
      <c r="E69" s="79" t="e">
        <f>I80</f>
        <v>#DIV/0!</v>
      </c>
      <c r="H69" s="40" t="s">
        <v>527</v>
      </c>
      <c r="I69" s="87" t="e">
        <f>I65+I66*I68</f>
        <v>#DIV/0!</v>
      </c>
      <c r="J69" s="85" t="s">
        <v>349</v>
      </c>
    </row>
    <row r="70" spans="2:10" x14ac:dyDescent="0.25">
      <c r="B70" s="69" t="s">
        <v>158</v>
      </c>
      <c r="C70" s="69"/>
      <c r="D70" s="69"/>
      <c r="E70" s="69"/>
      <c r="H70" s="40" t="s">
        <v>141</v>
      </c>
      <c r="I70" s="87" t="e">
        <f>I15/N149</f>
        <v>#DIV/0!</v>
      </c>
      <c r="J70" s="85" t="s">
        <v>267</v>
      </c>
    </row>
    <row r="71" spans="2:10" ht="15.75" x14ac:dyDescent="0.3">
      <c r="B71" s="63">
        <v>59</v>
      </c>
      <c r="C71" s="64" t="s">
        <v>156</v>
      </c>
      <c r="D71" s="65" t="s">
        <v>334</v>
      </c>
      <c r="E71" s="70">
        <f>N79</f>
        <v>0</v>
      </c>
      <c r="H71" s="40" t="s">
        <v>143</v>
      </c>
      <c r="I71" s="87" t="e">
        <f>N144/N145</f>
        <v>#DIV/0!</v>
      </c>
      <c r="J71" s="85" t="s">
        <v>268</v>
      </c>
    </row>
    <row r="72" spans="2:10" ht="15.75" x14ac:dyDescent="0.3">
      <c r="B72" s="63">
        <v>60</v>
      </c>
      <c r="C72" s="64" t="s">
        <v>157</v>
      </c>
      <c r="D72" s="65" t="s">
        <v>332</v>
      </c>
      <c r="E72" s="70">
        <f>N80</f>
        <v>0</v>
      </c>
      <c r="H72" s="40" t="s">
        <v>147</v>
      </c>
      <c r="I72" s="89" t="e">
        <f>I5/N148</f>
        <v>#DIV/0!</v>
      </c>
      <c r="J72" s="85" t="s">
        <v>264</v>
      </c>
    </row>
    <row r="73" spans="2:10" ht="15.75" x14ac:dyDescent="0.3">
      <c r="B73" s="63">
        <v>61</v>
      </c>
      <c r="C73" s="64" t="s">
        <v>335</v>
      </c>
      <c r="D73" s="65" t="s">
        <v>333</v>
      </c>
      <c r="E73" s="79">
        <f>N81</f>
        <v>0</v>
      </c>
      <c r="H73" s="40" t="s">
        <v>528</v>
      </c>
      <c r="I73" s="87" t="e">
        <f>I65/I72</f>
        <v>#DIV/0!</v>
      </c>
      <c r="J73" s="85" t="s">
        <v>350</v>
      </c>
    </row>
    <row r="74" spans="2:10" x14ac:dyDescent="0.25">
      <c r="B74" s="69" t="s">
        <v>336</v>
      </c>
      <c r="C74" s="69"/>
      <c r="D74" s="69"/>
      <c r="E74" s="69"/>
      <c r="H74" s="40" t="s">
        <v>153</v>
      </c>
      <c r="I74" s="90">
        <f>I49-I24*O145</f>
        <v>0</v>
      </c>
      <c r="J74" s="85" t="s">
        <v>325</v>
      </c>
    </row>
    <row r="75" spans="2:10" ht="15.75" x14ac:dyDescent="0.3">
      <c r="B75" s="63">
        <v>62</v>
      </c>
      <c r="C75" s="64" t="s">
        <v>161</v>
      </c>
      <c r="D75" s="65" t="s">
        <v>337</v>
      </c>
      <c r="E75" s="70">
        <f>I85</f>
        <v>0</v>
      </c>
      <c r="H75" s="40" t="s">
        <v>529</v>
      </c>
      <c r="I75" s="90">
        <f>N145-O145</f>
        <v>0</v>
      </c>
      <c r="J75" s="85" t="s">
        <v>301</v>
      </c>
    </row>
    <row r="76" spans="2:10" ht="15.75" x14ac:dyDescent="0.3">
      <c r="B76" s="63">
        <v>63</v>
      </c>
      <c r="C76" s="64" t="s">
        <v>338</v>
      </c>
      <c r="D76" s="65" t="s">
        <v>333</v>
      </c>
      <c r="E76" s="79">
        <f>I87</f>
        <v>0</v>
      </c>
      <c r="H76" s="40" t="s">
        <v>302</v>
      </c>
      <c r="I76" s="90">
        <f>I49-I75</f>
        <v>0</v>
      </c>
      <c r="J76" s="85" t="s">
        <v>351</v>
      </c>
    </row>
    <row r="77" spans="2:10" x14ac:dyDescent="0.25">
      <c r="B77" s="69" t="s">
        <v>339</v>
      </c>
      <c r="C77" s="69"/>
      <c r="D77" s="69"/>
      <c r="E77" s="69"/>
      <c r="H77" s="40" t="s">
        <v>530</v>
      </c>
      <c r="I77" s="90" t="e">
        <f>I49/I24</f>
        <v>#DIV/0!</v>
      </c>
      <c r="J77" s="85" t="s">
        <v>331</v>
      </c>
    </row>
    <row r="78" spans="2:10" ht="15.75" x14ac:dyDescent="0.3">
      <c r="B78" s="63">
        <v>64</v>
      </c>
      <c r="C78" s="64" t="s">
        <v>117</v>
      </c>
      <c r="D78" s="65" t="s">
        <v>340</v>
      </c>
      <c r="E78" s="79">
        <f>I41</f>
        <v>0</v>
      </c>
      <c r="H78" s="40" t="s">
        <v>531</v>
      </c>
      <c r="I78" s="90" t="e">
        <f>N145+I74/(I24-I25)</f>
        <v>#DIV/0!</v>
      </c>
      <c r="J78" s="85" t="s">
        <v>334</v>
      </c>
    </row>
    <row r="79" spans="2:10" ht="15.75" x14ac:dyDescent="0.3">
      <c r="B79" s="63">
        <v>65</v>
      </c>
      <c r="C79" s="64" t="s">
        <v>212</v>
      </c>
      <c r="D79" s="65" t="s">
        <v>341</v>
      </c>
      <c r="E79" s="70">
        <f>I57</f>
        <v>0</v>
      </c>
      <c r="H79" s="40" t="s">
        <v>532</v>
      </c>
      <c r="I79" s="90" t="e">
        <f>I78-N141</f>
        <v>#DIV/0!</v>
      </c>
      <c r="J79" s="85" t="s">
        <v>352</v>
      </c>
    </row>
    <row r="80" spans="2:10" ht="15.75" x14ac:dyDescent="0.3">
      <c r="B80" s="63">
        <v>66</v>
      </c>
      <c r="C80" s="64" t="s">
        <v>342</v>
      </c>
      <c r="D80" s="65" t="s">
        <v>343</v>
      </c>
      <c r="E80" s="70">
        <f>I58</f>
        <v>0</v>
      </c>
      <c r="H80" s="83" t="s">
        <v>116</v>
      </c>
      <c r="I80" s="92" t="e">
        <f>I79/I40</f>
        <v>#DIV/0!</v>
      </c>
      <c r="J80" s="85" t="s">
        <v>269</v>
      </c>
    </row>
    <row r="81" spans="2:10" ht="15.75" x14ac:dyDescent="0.3">
      <c r="B81" s="63">
        <v>67</v>
      </c>
      <c r="C81" s="64" t="s">
        <v>344</v>
      </c>
      <c r="D81" s="65" t="s">
        <v>345</v>
      </c>
      <c r="E81" s="74">
        <f>I88</f>
        <v>0</v>
      </c>
      <c r="H81" s="154" t="s">
        <v>161</v>
      </c>
      <c r="I81" s="96" t="e">
        <f>I55/(I24-I25)-I48</f>
        <v>#DIV/0!</v>
      </c>
      <c r="J81" s="97" t="s">
        <v>356</v>
      </c>
    </row>
    <row r="82" spans="2:10" ht="15.75" x14ac:dyDescent="0.3">
      <c r="B82" s="63">
        <v>68</v>
      </c>
      <c r="C82" s="64" t="s">
        <v>346</v>
      </c>
      <c r="D82" s="65" t="s">
        <v>345</v>
      </c>
      <c r="E82" s="74">
        <f>I89</f>
        <v>0</v>
      </c>
      <c r="H82" s="101" t="s">
        <v>338</v>
      </c>
      <c r="I82" s="100" t="e">
        <f>I81/I40</f>
        <v>#DIV/0!</v>
      </c>
      <c r="J82" s="93" t="s">
        <v>353</v>
      </c>
    </row>
    <row r="83" spans="2:10" ht="15.75" x14ac:dyDescent="0.3">
      <c r="B83" s="66">
        <v>69</v>
      </c>
      <c r="C83" s="67" t="s">
        <v>162</v>
      </c>
      <c r="D83" s="68" t="s">
        <v>163</v>
      </c>
      <c r="E83" s="78">
        <f>N82</f>
        <v>0</v>
      </c>
      <c r="H83" s="40" t="s">
        <v>533</v>
      </c>
      <c r="I83" s="94" t="e">
        <f>(N145/(I40*I41))*I65+(1-N145/(I40*I41))*(I25)</f>
        <v>#DIV/0!</v>
      </c>
      <c r="J83" s="85" t="s">
        <v>354</v>
      </c>
    </row>
    <row r="84" spans="2:10" x14ac:dyDescent="0.25">
      <c r="H84" s="83" t="s">
        <v>355</v>
      </c>
      <c r="I84" s="91" t="e">
        <f>I80/I41-1</f>
        <v>#DIV/0!</v>
      </c>
      <c r="J84" s="85" t="s">
        <v>345</v>
      </c>
    </row>
    <row r="100" spans="12:16" x14ac:dyDescent="0.25">
      <c r="L100" s="193" t="s">
        <v>244</v>
      </c>
      <c r="M100" s="193"/>
      <c r="N100" s="193"/>
      <c r="O100" s="193"/>
      <c r="P100" s="193"/>
    </row>
    <row r="101" spans="12:16" x14ac:dyDescent="0.25">
      <c r="L101" s="36" t="s">
        <v>114</v>
      </c>
      <c r="M101" s="36"/>
      <c r="N101" s="110">
        <v>0</v>
      </c>
      <c r="O101" s="110">
        <v>0</v>
      </c>
      <c r="P101" s="36" t="s">
        <v>245</v>
      </c>
    </row>
    <row r="102" spans="12:16" x14ac:dyDescent="0.25">
      <c r="L102" s="193" t="s">
        <v>246</v>
      </c>
      <c r="M102" s="193"/>
      <c r="N102" s="193"/>
      <c r="O102" s="193"/>
      <c r="P102" s="193"/>
    </row>
    <row r="103" spans="12:16" x14ac:dyDescent="0.25">
      <c r="L103" s="54" t="s">
        <v>229</v>
      </c>
      <c r="M103" s="55"/>
      <c r="N103" s="56">
        <v>0</v>
      </c>
      <c r="O103" s="56">
        <v>0</v>
      </c>
      <c r="P103" s="53"/>
    </row>
    <row r="104" spans="12:16" x14ac:dyDescent="0.25">
      <c r="L104" s="57" t="s">
        <v>409</v>
      </c>
      <c r="M104" s="58"/>
      <c r="N104" s="59">
        <v>0</v>
      </c>
      <c r="O104" s="59">
        <v>0</v>
      </c>
      <c r="P104" s="53"/>
    </row>
    <row r="105" spans="12:16" x14ac:dyDescent="0.25">
      <c r="L105" s="57" t="s">
        <v>230</v>
      </c>
      <c r="M105" s="58"/>
      <c r="N105" s="59">
        <v>0</v>
      </c>
      <c r="O105" s="59">
        <v>0</v>
      </c>
      <c r="P105" s="53"/>
    </row>
    <row r="106" spans="12:16" x14ac:dyDescent="0.25">
      <c r="L106" s="57" t="s">
        <v>410</v>
      </c>
      <c r="M106" s="58"/>
      <c r="N106" s="59">
        <v>0</v>
      </c>
      <c r="O106" s="59">
        <v>0</v>
      </c>
      <c r="P106" s="53"/>
    </row>
    <row r="107" spans="12:16" x14ac:dyDescent="0.25">
      <c r="L107" s="57" t="s">
        <v>411</v>
      </c>
      <c r="M107" s="58"/>
      <c r="N107" s="59">
        <v>0</v>
      </c>
      <c r="O107" s="59">
        <v>0</v>
      </c>
      <c r="P107" s="53"/>
    </row>
    <row r="108" spans="12:16" x14ac:dyDescent="0.25">
      <c r="L108" s="57" t="s">
        <v>412</v>
      </c>
      <c r="M108" s="58"/>
      <c r="N108" s="59">
        <v>0</v>
      </c>
      <c r="O108" s="59">
        <v>0</v>
      </c>
      <c r="P108" s="53"/>
    </row>
    <row r="109" spans="12:16" x14ac:dyDescent="0.25">
      <c r="L109" s="60" t="s">
        <v>247</v>
      </c>
      <c r="M109" s="60"/>
      <c r="N109" s="41">
        <v>0</v>
      </c>
      <c r="O109" s="41">
        <v>0</v>
      </c>
      <c r="P109" s="38"/>
    </row>
    <row r="110" spans="12:16" x14ac:dyDescent="0.25">
      <c r="L110" s="35"/>
      <c r="M110" s="35"/>
      <c r="N110" s="35"/>
      <c r="O110" s="35"/>
      <c r="P110" s="35"/>
    </row>
    <row r="111" spans="12:16" x14ac:dyDescent="0.25">
      <c r="L111" s="194" t="s">
        <v>248</v>
      </c>
      <c r="M111" s="194"/>
      <c r="N111" s="194"/>
      <c r="O111" s="194"/>
      <c r="P111" s="193"/>
    </row>
    <row r="112" spans="12:16" x14ac:dyDescent="0.25">
      <c r="L112" s="54" t="s">
        <v>413</v>
      </c>
      <c r="M112" s="55"/>
      <c r="N112" s="56">
        <v>0</v>
      </c>
      <c r="O112" s="56">
        <v>0</v>
      </c>
      <c r="P112" s="53"/>
    </row>
    <row r="113" spans="12:16" x14ac:dyDescent="0.25">
      <c r="L113" s="57" t="s">
        <v>231</v>
      </c>
      <c r="M113" s="58"/>
      <c r="N113" s="59">
        <v>0</v>
      </c>
      <c r="O113" s="59">
        <v>0</v>
      </c>
      <c r="P113" s="53"/>
    </row>
    <row r="114" spans="12:16" x14ac:dyDescent="0.25">
      <c r="L114" s="57" t="s">
        <v>414</v>
      </c>
      <c r="M114" s="58"/>
      <c r="N114" s="59">
        <v>0</v>
      </c>
      <c r="O114" s="59">
        <v>0</v>
      </c>
      <c r="P114" s="53"/>
    </row>
    <row r="115" spans="12:16" x14ac:dyDescent="0.25">
      <c r="L115" s="60" t="s">
        <v>249</v>
      </c>
      <c r="M115" s="60"/>
      <c r="N115" s="41">
        <v>0</v>
      </c>
      <c r="O115" s="41">
        <v>0</v>
      </c>
      <c r="P115" s="38"/>
    </row>
    <row r="116" spans="12:16" x14ac:dyDescent="0.25">
      <c r="L116" s="35"/>
      <c r="M116" s="35"/>
      <c r="N116" s="35"/>
      <c r="O116" s="35"/>
      <c r="P116" s="35"/>
    </row>
    <row r="117" spans="12:16" x14ac:dyDescent="0.25">
      <c r="L117" s="61" t="s">
        <v>232</v>
      </c>
      <c r="M117" s="61"/>
      <c r="N117" s="43">
        <v>0</v>
      </c>
      <c r="O117" s="43">
        <v>0</v>
      </c>
      <c r="P117" s="38"/>
    </row>
    <row r="118" spans="12:16" x14ac:dyDescent="0.25">
      <c r="L118" s="35"/>
      <c r="M118" s="35"/>
      <c r="N118" s="35"/>
      <c r="O118" s="35"/>
      <c r="P118" s="35"/>
    </row>
    <row r="119" spans="12:16" x14ac:dyDescent="0.25">
      <c r="L119" s="194" t="s">
        <v>250</v>
      </c>
      <c r="M119" s="194"/>
      <c r="N119" s="194"/>
      <c r="O119" s="194"/>
      <c r="P119" s="193"/>
    </row>
    <row r="120" spans="12:16" x14ac:dyDescent="0.25">
      <c r="L120" s="54" t="s">
        <v>415</v>
      </c>
      <c r="M120" s="55"/>
      <c r="N120" s="56">
        <v>0</v>
      </c>
      <c r="O120" s="56">
        <v>0</v>
      </c>
      <c r="P120" s="53"/>
    </row>
    <row r="121" spans="12:16" x14ac:dyDescent="0.25">
      <c r="L121" s="57" t="s">
        <v>416</v>
      </c>
      <c r="M121" s="58"/>
      <c r="N121" s="59">
        <v>0</v>
      </c>
      <c r="O121" s="59">
        <v>0</v>
      </c>
      <c r="P121" s="53"/>
    </row>
    <row r="122" spans="12:16" x14ac:dyDescent="0.25">
      <c r="L122" s="57" t="s">
        <v>417</v>
      </c>
      <c r="M122" s="58"/>
      <c r="N122" s="59">
        <v>0</v>
      </c>
      <c r="O122" s="59">
        <v>0</v>
      </c>
      <c r="P122" s="53"/>
    </row>
    <row r="123" spans="12:16" x14ac:dyDescent="0.25">
      <c r="L123" s="57" t="s">
        <v>418</v>
      </c>
      <c r="M123" s="58"/>
      <c r="N123" s="59">
        <v>0</v>
      </c>
      <c r="O123" s="59">
        <v>0</v>
      </c>
      <c r="P123" s="53"/>
    </row>
    <row r="124" spans="12:16" x14ac:dyDescent="0.25">
      <c r="L124" s="57" t="s">
        <v>403</v>
      </c>
      <c r="M124" s="58"/>
      <c r="N124" s="59">
        <v>0</v>
      </c>
      <c r="O124" s="59">
        <v>0</v>
      </c>
      <c r="P124" s="53"/>
    </row>
    <row r="125" spans="12:16" x14ac:dyDescent="0.25">
      <c r="L125" s="60" t="s">
        <v>251</v>
      </c>
      <c r="M125" s="60"/>
      <c r="N125" s="41">
        <v>0</v>
      </c>
      <c r="O125" s="41">
        <v>0</v>
      </c>
      <c r="P125" s="38"/>
    </row>
    <row r="126" spans="12:16" x14ac:dyDescent="0.25">
      <c r="L126" s="35"/>
      <c r="M126" s="35"/>
      <c r="N126" s="35"/>
      <c r="O126" s="35"/>
      <c r="P126" s="35"/>
    </row>
    <row r="127" spans="12:16" x14ac:dyDescent="0.25">
      <c r="L127" s="194" t="s">
        <v>252</v>
      </c>
      <c r="M127" s="194"/>
      <c r="N127" s="194"/>
      <c r="O127" s="194"/>
      <c r="P127" s="193"/>
    </row>
    <row r="128" spans="12:16" x14ac:dyDescent="0.25">
      <c r="L128" s="54" t="s">
        <v>419</v>
      </c>
      <c r="M128" s="55"/>
      <c r="N128" s="56">
        <v>0</v>
      </c>
      <c r="O128" s="56">
        <v>0</v>
      </c>
      <c r="P128" s="53"/>
    </row>
    <row r="129" spans="12:16" x14ac:dyDescent="0.25">
      <c r="L129" s="57" t="s">
        <v>420</v>
      </c>
      <c r="M129" s="58"/>
      <c r="N129" s="59">
        <v>0</v>
      </c>
      <c r="O129" s="59">
        <v>0</v>
      </c>
      <c r="P129" s="53"/>
    </row>
    <row r="130" spans="12:16" x14ac:dyDescent="0.25">
      <c r="L130" s="60" t="s">
        <v>253</v>
      </c>
      <c r="M130" s="60"/>
      <c r="N130" s="41">
        <v>0</v>
      </c>
      <c r="O130" s="41">
        <v>0</v>
      </c>
      <c r="P130" s="38"/>
    </row>
    <row r="131" spans="12:16" x14ac:dyDescent="0.25">
      <c r="L131" s="35"/>
      <c r="M131" s="35"/>
      <c r="N131" s="35"/>
      <c r="O131" s="35"/>
      <c r="P131" s="35"/>
    </row>
    <row r="132" spans="12:16" x14ac:dyDescent="0.25">
      <c r="L132" s="61" t="s">
        <v>233</v>
      </c>
      <c r="M132" s="61"/>
      <c r="N132" s="43">
        <v>0</v>
      </c>
      <c r="O132" s="43">
        <v>0</v>
      </c>
      <c r="P132" s="38"/>
    </row>
    <row r="133" spans="12:16" x14ac:dyDescent="0.25">
      <c r="L133" s="35"/>
      <c r="M133" s="35"/>
      <c r="N133" s="35"/>
      <c r="O133" s="35"/>
      <c r="P133" s="35"/>
    </row>
    <row r="134" spans="12:16" x14ac:dyDescent="0.25">
      <c r="L134" s="61" t="s">
        <v>254</v>
      </c>
      <c r="M134" s="61"/>
      <c r="N134" s="43">
        <v>0</v>
      </c>
      <c r="O134" s="43">
        <v>0</v>
      </c>
      <c r="P134" s="38"/>
    </row>
    <row r="135" spans="12:16" x14ac:dyDescent="0.25">
      <c r="L135" s="50" t="s">
        <v>234</v>
      </c>
      <c r="M135" s="35"/>
      <c r="N135" s="51">
        <f>N132+N134-N117</f>
        <v>0</v>
      </c>
      <c r="O135" s="51">
        <f>O132+O134-O117</f>
        <v>0</v>
      </c>
      <c r="P135" s="35"/>
    </row>
    <row r="136" spans="12:16" x14ac:dyDescent="0.25">
      <c r="L136" s="35"/>
      <c r="M136" s="35"/>
      <c r="N136" s="35"/>
      <c r="O136" s="35"/>
      <c r="P136" s="35"/>
    </row>
    <row r="137" spans="12:16" x14ac:dyDescent="0.25">
      <c r="L137" s="193" t="s">
        <v>235</v>
      </c>
      <c r="M137" s="193"/>
      <c r="N137" s="193"/>
      <c r="O137" s="193"/>
      <c r="P137" s="193"/>
    </row>
    <row r="138" spans="12:16" x14ac:dyDescent="0.25">
      <c r="L138" s="192" t="s">
        <v>167</v>
      </c>
      <c r="M138" s="192"/>
      <c r="N138" s="192"/>
      <c r="O138" s="192"/>
      <c r="P138" s="192"/>
    </row>
    <row r="139" spans="12:16" x14ac:dyDescent="0.25">
      <c r="L139" s="37" t="s">
        <v>236</v>
      </c>
      <c r="M139" s="35"/>
      <c r="N139" s="44">
        <v>0</v>
      </c>
      <c r="O139" s="44">
        <v>0</v>
      </c>
      <c r="P139" s="53" t="s">
        <v>404</v>
      </c>
    </row>
    <row r="140" spans="12:16" x14ac:dyDescent="0.25">
      <c r="L140" s="37" t="s">
        <v>237</v>
      </c>
      <c r="M140" s="35"/>
      <c r="N140" s="44">
        <v>0</v>
      </c>
      <c r="O140" s="44">
        <v>0</v>
      </c>
      <c r="P140" s="53" t="s">
        <v>405</v>
      </c>
    </row>
    <row r="141" spans="12:16" x14ac:dyDescent="0.25">
      <c r="L141" s="37" t="s">
        <v>238</v>
      </c>
      <c r="M141" s="35"/>
      <c r="N141" s="44">
        <v>0</v>
      </c>
      <c r="O141" s="44">
        <v>0</v>
      </c>
      <c r="P141" s="53" t="s">
        <v>255</v>
      </c>
    </row>
    <row r="142" spans="12:16" x14ac:dyDescent="0.25">
      <c r="L142" s="35" t="s">
        <v>238</v>
      </c>
      <c r="M142" s="35"/>
      <c r="N142" s="35">
        <v>0</v>
      </c>
      <c r="O142" s="35">
        <v>0</v>
      </c>
      <c r="P142" s="35" t="s">
        <v>406</v>
      </c>
    </row>
    <row r="143" spans="12:16" x14ac:dyDescent="0.25">
      <c r="L143" s="37" t="s">
        <v>239</v>
      </c>
      <c r="M143" s="35"/>
      <c r="N143" s="44">
        <v>0</v>
      </c>
      <c r="O143" s="44">
        <v>0</v>
      </c>
      <c r="P143" s="53" t="s">
        <v>256</v>
      </c>
    </row>
    <row r="144" spans="12:16" x14ac:dyDescent="0.25">
      <c r="L144" s="37" t="s">
        <v>240</v>
      </c>
      <c r="M144" s="35"/>
      <c r="N144" s="44">
        <v>0</v>
      </c>
      <c r="O144" s="44">
        <v>0</v>
      </c>
      <c r="P144" s="53" t="s">
        <v>257</v>
      </c>
    </row>
    <row r="145" spans="12:16" x14ac:dyDescent="0.25">
      <c r="L145" s="61" t="s">
        <v>241</v>
      </c>
      <c r="M145" s="61"/>
      <c r="N145" s="43">
        <v>0</v>
      </c>
      <c r="O145" s="43">
        <v>0</v>
      </c>
      <c r="P145" s="38" t="s">
        <v>258</v>
      </c>
    </row>
    <row r="146" spans="12:16" x14ac:dyDescent="0.25">
      <c r="L146" s="50" t="s">
        <v>242</v>
      </c>
      <c r="M146" s="35"/>
      <c r="N146" s="51">
        <v>0</v>
      </c>
      <c r="O146" s="51">
        <v>0</v>
      </c>
      <c r="P146" s="53" t="s">
        <v>243</v>
      </c>
    </row>
    <row r="147" spans="12:16" x14ac:dyDescent="0.25">
      <c r="L147" s="35" t="s">
        <v>242</v>
      </c>
      <c r="M147" s="35"/>
      <c r="N147" s="35">
        <v>0</v>
      </c>
      <c r="O147" s="35">
        <v>0</v>
      </c>
      <c r="P147" s="35" t="s">
        <v>407</v>
      </c>
    </row>
    <row r="148" spans="12:16" x14ac:dyDescent="0.25">
      <c r="L148" s="38" t="s">
        <v>259</v>
      </c>
      <c r="M148" s="38"/>
      <c r="N148" s="39">
        <v>0</v>
      </c>
      <c r="O148" s="39">
        <f>O134</f>
        <v>0</v>
      </c>
      <c r="P148" s="38" t="s">
        <v>260</v>
      </c>
    </row>
    <row r="149" spans="12:16" x14ac:dyDescent="0.25">
      <c r="L149" s="38" t="s">
        <v>261</v>
      </c>
      <c r="M149" s="38"/>
      <c r="N149" s="39">
        <v>0</v>
      </c>
      <c r="O149" s="39">
        <v>0</v>
      </c>
      <c r="P149" s="38" t="s">
        <v>260</v>
      </c>
    </row>
    <row r="150" spans="12:16" x14ac:dyDescent="0.25">
      <c r="L150" s="38" t="s">
        <v>262</v>
      </c>
      <c r="M150" s="38"/>
      <c r="N150" s="39">
        <v>0</v>
      </c>
      <c r="O150" s="39">
        <v>0</v>
      </c>
      <c r="P150" s="38" t="s">
        <v>260</v>
      </c>
    </row>
    <row r="151" spans="12:16" x14ac:dyDescent="0.25">
      <c r="L151" s="35"/>
      <c r="M151" s="35"/>
      <c r="N151" s="35"/>
      <c r="O151" s="35"/>
      <c r="P151" s="35"/>
    </row>
  </sheetData>
  <mergeCells count="12">
    <mergeCell ref="H1:J1"/>
    <mergeCell ref="H3:J3"/>
    <mergeCell ref="H22:J22"/>
    <mergeCell ref="H44:J44"/>
    <mergeCell ref="H63:J63"/>
    <mergeCell ref="L138:P138"/>
    <mergeCell ref="L137:P137"/>
    <mergeCell ref="L100:P100"/>
    <mergeCell ref="L102:P102"/>
    <mergeCell ref="L111:P111"/>
    <mergeCell ref="L119:P119"/>
    <mergeCell ref="L127:P127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2D891-4314-4FDB-8CD8-2ADF3FA39802}">
  <sheetPr codeName="Sheet2"/>
  <dimension ref="B1:M54"/>
  <sheetViews>
    <sheetView showGridLines="0" zoomScaleNormal="100" workbookViewId="0">
      <pane ySplit="1" topLeftCell="A2" activePane="bottomLeft" state="frozen"/>
      <selection pane="bottomLeft" activeCell="A2" sqref="A2"/>
    </sheetView>
  </sheetViews>
  <sheetFormatPr defaultRowHeight="22.5" customHeight="1" x14ac:dyDescent="0.3"/>
  <cols>
    <col min="1" max="1" width="2.7109375" style="21" customWidth="1"/>
    <col min="2" max="2" width="28.7109375" style="21" customWidth="1"/>
    <col min="3" max="18" width="14.7109375" style="21" customWidth="1"/>
    <col min="19" max="16384" width="9.140625" style="21"/>
  </cols>
  <sheetData>
    <row r="1" spans="2:13" ht="13.5" customHeight="1" x14ac:dyDescent="0.3">
      <c r="B1" s="22" t="s">
        <v>421</v>
      </c>
    </row>
    <row r="3" spans="2:13" ht="22.5" customHeight="1" x14ac:dyDescent="0.3">
      <c r="B3" s="112" t="s">
        <v>114</v>
      </c>
      <c r="C3" s="23">
        <v>2025</v>
      </c>
      <c r="D3" s="23">
        <v>2026</v>
      </c>
      <c r="E3" s="23">
        <v>2027</v>
      </c>
      <c r="F3" s="23">
        <v>2028</v>
      </c>
      <c r="G3" s="23">
        <v>2029</v>
      </c>
      <c r="H3" s="23">
        <v>2030</v>
      </c>
      <c r="I3" s="23">
        <v>2031</v>
      </c>
      <c r="J3" s="23">
        <v>2032</v>
      </c>
      <c r="K3" s="23">
        <v>2033</v>
      </c>
      <c r="L3" s="23">
        <v>2034</v>
      </c>
      <c r="M3" s="23">
        <v>2035</v>
      </c>
    </row>
    <row r="4" spans="2:13" ht="22.5" customHeight="1" x14ac:dyDescent="0.3">
      <c r="B4" s="116" t="s">
        <v>422</v>
      </c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16"/>
    </row>
    <row r="5" spans="2:13" ht="22.5" customHeight="1" x14ac:dyDescent="0.3">
      <c r="B5" s="113" t="s">
        <v>423</v>
      </c>
      <c r="C5" s="114">
        <v>8937</v>
      </c>
      <c r="D5" s="115">
        <v>17874</v>
      </c>
      <c r="E5" s="115">
        <v>25023.600000000002</v>
      </c>
      <c r="F5" s="115">
        <v>32530.680000000004</v>
      </c>
      <c r="G5" s="115">
        <v>39036.816000000006</v>
      </c>
      <c r="H5" s="115">
        <v>44892.338400000008</v>
      </c>
      <c r="I5" s="115">
        <v>49381.572240000009</v>
      </c>
      <c r="J5" s="115">
        <v>53332.098019200006</v>
      </c>
      <c r="K5" s="115">
        <v>56532.023900352004</v>
      </c>
      <c r="L5" s="115">
        <v>59923.945334373122</v>
      </c>
      <c r="M5" s="115">
        <v>63519.382054435511</v>
      </c>
    </row>
    <row r="6" spans="2:13" ht="22.5" customHeight="1" x14ac:dyDescent="0.3">
      <c r="B6" s="119" t="s">
        <v>424</v>
      </c>
      <c r="C6" s="120">
        <v>13000</v>
      </c>
      <c r="D6" s="121">
        <v>17874</v>
      </c>
      <c r="E6" s="121">
        <v>25023.600000000002</v>
      </c>
      <c r="F6" s="121">
        <v>32530.680000000004</v>
      </c>
      <c r="G6" s="121">
        <v>39036.816000000006</v>
      </c>
      <c r="H6" s="121">
        <v>44892.338400000008</v>
      </c>
      <c r="I6" s="121">
        <v>49381.572240000009</v>
      </c>
      <c r="J6" s="121">
        <v>53332.098019200006</v>
      </c>
      <c r="K6" s="121">
        <v>56532.023900352004</v>
      </c>
      <c r="L6" s="121">
        <v>59923.945334373122</v>
      </c>
      <c r="M6" s="121">
        <v>63519.382054435511</v>
      </c>
    </row>
    <row r="7" spans="2:13" ht="22.5" customHeight="1" x14ac:dyDescent="0.3">
      <c r="B7" s="123" t="s">
        <v>425</v>
      </c>
      <c r="C7" s="124"/>
      <c r="D7" s="125">
        <v>0.37492307692307691</v>
      </c>
      <c r="E7" s="125">
        <v>0.40000000000000013</v>
      </c>
      <c r="F7" s="125">
        <v>0.30000000000000004</v>
      </c>
      <c r="G7" s="125">
        <v>0.20000000000000004</v>
      </c>
      <c r="H7" s="125">
        <v>0.15000000000000002</v>
      </c>
      <c r="I7" s="125">
        <v>0.1</v>
      </c>
      <c r="J7" s="125">
        <v>7.9999999999999932E-2</v>
      </c>
      <c r="K7" s="125">
        <v>5.9999999999999949E-2</v>
      </c>
      <c r="L7" s="125">
        <v>5.999999999999997E-2</v>
      </c>
      <c r="M7" s="125">
        <v>6.0000000000000032E-2</v>
      </c>
    </row>
    <row r="9" spans="2:13" ht="22.5" customHeight="1" x14ac:dyDescent="0.3">
      <c r="B9" s="171" t="s">
        <v>426</v>
      </c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</row>
    <row r="10" spans="2:13" ht="22.5" customHeight="1" x14ac:dyDescent="0.3">
      <c r="B10" s="113" t="s">
        <v>48</v>
      </c>
      <c r="C10" s="114">
        <v>5000</v>
      </c>
      <c r="D10" s="115">
        <v>10862.592000000001</v>
      </c>
      <c r="E10" s="115">
        <v>14601.736799999999</v>
      </c>
      <c r="F10" s="115">
        <v>20402.466840000001</v>
      </c>
      <c r="G10" s="115">
        <v>26586.013104000005</v>
      </c>
      <c r="H10" s="115">
        <v>30889.470528000002</v>
      </c>
      <c r="I10" s="115">
        <v>34409.998539504006</v>
      </c>
      <c r="J10" s="115">
        <v>38152.942569060484</v>
      </c>
      <c r="K10" s="115">
        <v>40281.30312973322</v>
      </c>
      <c r="L10" s="115">
        <v>46129.585724239274</v>
      </c>
      <c r="M10" s="115">
        <v>48730.047908086512</v>
      </c>
    </row>
    <row r="11" spans="2:13" ht="22.5" customHeight="1" x14ac:dyDescent="0.3">
      <c r="B11" s="119" t="s">
        <v>49</v>
      </c>
      <c r="C11" s="120">
        <v>8000</v>
      </c>
      <c r="D11" s="121">
        <v>7011.4079999999994</v>
      </c>
      <c r="E11" s="121">
        <v>10421.863200000003</v>
      </c>
      <c r="F11" s="121">
        <v>12128.213160000003</v>
      </c>
      <c r="G11" s="121">
        <v>12450.802896000001</v>
      </c>
      <c r="H11" s="121">
        <v>14002.867872000006</v>
      </c>
      <c r="I11" s="121">
        <v>14971.573700496003</v>
      </c>
      <c r="J11" s="121">
        <v>15179.155450139522</v>
      </c>
      <c r="K11" s="121">
        <v>16250.720770618784</v>
      </c>
      <c r="L11" s="121">
        <v>13794.359610133848</v>
      </c>
      <c r="M11" s="121">
        <v>14789.334146349</v>
      </c>
    </row>
    <row r="12" spans="2:13" ht="22.5" customHeight="1" x14ac:dyDescent="0.3">
      <c r="B12" s="123" t="s">
        <v>427</v>
      </c>
      <c r="C12" s="127">
        <v>0.61538461538461542</v>
      </c>
      <c r="D12" s="125">
        <v>0.3922685464921114</v>
      </c>
      <c r="E12" s="125">
        <v>0.41648136958710985</v>
      </c>
      <c r="F12" s="125">
        <v>0.37282384382988615</v>
      </c>
      <c r="G12" s="125">
        <v>0.31895026725540321</v>
      </c>
      <c r="H12" s="125">
        <v>0.3119211066091403</v>
      </c>
      <c r="I12" s="125">
        <v>0.30318138976483916</v>
      </c>
      <c r="J12" s="125">
        <v>0.28461575700012587</v>
      </c>
      <c r="K12" s="125">
        <v>0.28746044541521532</v>
      </c>
      <c r="L12" s="125">
        <v>0.23019778709766012</v>
      </c>
      <c r="M12" s="125">
        <v>0.23283183286755971</v>
      </c>
    </row>
    <row r="14" spans="2:13" ht="22.5" customHeight="1" x14ac:dyDescent="0.3">
      <c r="B14" s="113" t="s">
        <v>50</v>
      </c>
      <c r="C14" s="114">
        <v>1207</v>
      </c>
      <c r="D14" s="115">
        <v>1277.28</v>
      </c>
      <c r="E14" s="115">
        <v>1370.7468000000001</v>
      </c>
      <c r="F14" s="115">
        <v>1468.2278160000003</v>
      </c>
      <c r="G14" s="115">
        <v>1556.14759632</v>
      </c>
      <c r="H14" s="115">
        <v>1638.0184090464002</v>
      </c>
      <c r="I14" s="115">
        <v>1706.6926479473282</v>
      </c>
      <c r="J14" s="115">
        <v>1770.4554442502747</v>
      </c>
      <c r="K14" s="115">
        <v>1827.1973923429603</v>
      </c>
      <c r="L14" s="115">
        <v>1886.3541497499602</v>
      </c>
      <c r="M14" s="115">
        <v>1948.0508108787087</v>
      </c>
    </row>
    <row r="15" spans="2:13" ht="22.5" customHeight="1" x14ac:dyDescent="0.3">
      <c r="B15" s="113" t="s">
        <v>51</v>
      </c>
      <c r="C15" s="114">
        <v>268</v>
      </c>
      <c r="D15" s="115">
        <v>362.34000000000003</v>
      </c>
      <c r="E15" s="115">
        <v>437.50800000000004</v>
      </c>
      <c r="F15" s="115">
        <v>516.32424000000003</v>
      </c>
      <c r="G15" s="115">
        <v>585.2059488000001</v>
      </c>
      <c r="H15" s="115">
        <v>647.65792857600013</v>
      </c>
      <c r="I15" s="115">
        <v>696.52495786752013</v>
      </c>
      <c r="J15" s="115">
        <v>740.08440036887043</v>
      </c>
      <c r="K15" s="115">
        <v>776.21892758392789</v>
      </c>
      <c r="L15" s="115">
        <v>814.35611569574723</v>
      </c>
      <c r="M15" s="115">
        <v>854.61281614341146</v>
      </c>
    </row>
    <row r="16" spans="2:13" ht="22.5" customHeight="1" x14ac:dyDescent="0.3">
      <c r="B16" s="113" t="s">
        <v>52</v>
      </c>
      <c r="C16" s="114">
        <v>358</v>
      </c>
      <c r="D16" s="115">
        <v>454.14</v>
      </c>
      <c r="E16" s="115">
        <v>531.14400000000001</v>
      </c>
      <c r="F16" s="115">
        <v>611.83296000000007</v>
      </c>
      <c r="G16" s="115">
        <v>682.6248432000001</v>
      </c>
      <c r="H16" s="115">
        <v>747.02520086400011</v>
      </c>
      <c r="I16" s="115">
        <v>797.87957560128007</v>
      </c>
      <c r="J16" s="115">
        <v>843.46611045730572</v>
      </c>
      <c r="K16" s="115">
        <v>881.66827187413185</v>
      </c>
      <c r="L16" s="115">
        <v>921.91444687175522</v>
      </c>
      <c r="M16" s="115">
        <v>964.32231394293956</v>
      </c>
    </row>
    <row r="17" spans="2:13" ht="22.5" customHeight="1" x14ac:dyDescent="0.3">
      <c r="B17" s="119" t="s">
        <v>53</v>
      </c>
      <c r="C17" s="120">
        <v>1833</v>
      </c>
      <c r="D17" s="121">
        <v>2093.7600000000002</v>
      </c>
      <c r="E17" s="121">
        <v>2339.3987999999999</v>
      </c>
      <c r="F17" s="121">
        <v>2596.3850160000002</v>
      </c>
      <c r="G17" s="121">
        <v>2823.9783883200002</v>
      </c>
      <c r="H17" s="121">
        <v>3032.7015384864003</v>
      </c>
      <c r="I17" s="121">
        <v>3201.0971814161285</v>
      </c>
      <c r="J17" s="121">
        <v>3354.0059550764508</v>
      </c>
      <c r="K17" s="121">
        <v>3485.08459180102</v>
      </c>
      <c r="L17" s="121">
        <v>3622.6247123174626</v>
      </c>
      <c r="M17" s="121">
        <v>3766.9859409650599</v>
      </c>
    </row>
    <row r="18" spans="2:13" ht="22.5" customHeight="1" x14ac:dyDescent="0.3">
      <c r="B18" s="119" t="s">
        <v>54</v>
      </c>
      <c r="C18" s="120">
        <v>6167</v>
      </c>
      <c r="D18" s="121">
        <v>4917.6479999999992</v>
      </c>
      <c r="E18" s="121">
        <v>8082.4644000000035</v>
      </c>
      <c r="F18" s="121">
        <v>9531.8281440000028</v>
      </c>
      <c r="G18" s="121">
        <v>9626.8245076800013</v>
      </c>
      <c r="H18" s="121">
        <v>10970.166333513605</v>
      </c>
      <c r="I18" s="121">
        <v>11770.476519079875</v>
      </c>
      <c r="J18" s="121">
        <v>11825.149495063071</v>
      </c>
      <c r="K18" s="121">
        <v>12765.636178817764</v>
      </c>
      <c r="L18" s="121">
        <v>10171.734897816386</v>
      </c>
      <c r="M18" s="121">
        <v>11022.34820538394</v>
      </c>
    </row>
    <row r="19" spans="2:13" ht="22.5" customHeight="1" x14ac:dyDescent="0.3">
      <c r="B19" s="113" t="s">
        <v>428</v>
      </c>
      <c r="C19" s="114">
        <v>-120</v>
      </c>
      <c r="D19" s="115">
        <v>113.52</v>
      </c>
      <c r="E19" s="115">
        <v>204.17777052054794</v>
      </c>
      <c r="F19" s="115">
        <v>382.64170713336995</v>
      </c>
      <c r="G19" s="115">
        <v>600.48816375769263</v>
      </c>
      <c r="H19" s="115">
        <v>834.2605769286763</v>
      </c>
      <c r="I19" s="115">
        <v>1132.9519214806671</v>
      </c>
      <c r="J19" s="115">
        <v>1481.3389309748775</v>
      </c>
      <c r="K19" s="115">
        <v>1845.941583234352</v>
      </c>
      <c r="L19" s="115">
        <v>2266.3161388891222</v>
      </c>
      <c r="M19" s="115">
        <v>2597.6748546961421</v>
      </c>
    </row>
    <row r="20" spans="2:13" ht="22.5" customHeight="1" x14ac:dyDescent="0.3">
      <c r="B20" s="113" t="s">
        <v>429</v>
      </c>
      <c r="C20" s="114">
        <v>0</v>
      </c>
      <c r="D20" s="115">
        <v>154.97999999999999</v>
      </c>
      <c r="E20" s="115">
        <v>150.3306</v>
      </c>
      <c r="F20" s="115">
        <v>145.82068200000001</v>
      </c>
      <c r="G20" s="115">
        <v>141.44606154000002</v>
      </c>
      <c r="H20" s="115">
        <v>137.20267969380001</v>
      </c>
      <c r="I20" s="115">
        <v>133.086599302986</v>
      </c>
      <c r="J20" s="115">
        <v>129.09400132389644</v>
      </c>
      <c r="K20" s="115">
        <v>125.22118128417956</v>
      </c>
      <c r="L20" s="115">
        <v>121.46454584565417</v>
      </c>
      <c r="M20" s="115">
        <v>117.82060947028454</v>
      </c>
    </row>
    <row r="21" spans="2:13" ht="22.5" customHeight="1" x14ac:dyDescent="0.3">
      <c r="B21" s="119" t="s">
        <v>56</v>
      </c>
      <c r="C21" s="120">
        <v>6047</v>
      </c>
      <c r="D21" s="121">
        <v>4876.1879999999992</v>
      </c>
      <c r="E21" s="121">
        <v>8136.311570520551</v>
      </c>
      <c r="F21" s="121">
        <v>9768.6491691333722</v>
      </c>
      <c r="G21" s="121">
        <v>10085.866609897694</v>
      </c>
      <c r="H21" s="121">
        <v>11667.224230748481</v>
      </c>
      <c r="I21" s="121">
        <v>12770.341841257556</v>
      </c>
      <c r="J21" s="121">
        <v>13177.394424714052</v>
      </c>
      <c r="K21" s="121">
        <v>14486.356580767937</v>
      </c>
      <c r="L21" s="121">
        <v>12316.586490859854</v>
      </c>
      <c r="M21" s="121">
        <v>13502.202450609797</v>
      </c>
    </row>
    <row r="22" spans="2:13" ht="22.5" customHeight="1" x14ac:dyDescent="0.3">
      <c r="B22" s="113" t="s">
        <v>430</v>
      </c>
      <c r="C22" s="114">
        <v>1209.4000000000001</v>
      </c>
      <c r="D22" s="115">
        <v>975.23759999999993</v>
      </c>
      <c r="E22" s="115">
        <v>1627.2623141041104</v>
      </c>
      <c r="F22" s="115">
        <v>1953.7298338266746</v>
      </c>
      <c r="G22" s="115">
        <v>2017.1733219795387</v>
      </c>
      <c r="H22" s="115">
        <v>2333.4448461496963</v>
      </c>
      <c r="I22" s="115">
        <v>2554.0683682515114</v>
      </c>
      <c r="J22" s="115">
        <v>2635.4788849428105</v>
      </c>
      <c r="K22" s="115">
        <v>2897.2713161535876</v>
      </c>
      <c r="L22" s="115">
        <v>2463.3172981719708</v>
      </c>
      <c r="M22" s="115">
        <v>2700.4404901219596</v>
      </c>
    </row>
    <row r="23" spans="2:13" ht="22.5" customHeight="1" x14ac:dyDescent="0.3">
      <c r="B23" s="119" t="s">
        <v>57</v>
      </c>
      <c r="C23" s="120">
        <v>4837.6000000000004</v>
      </c>
      <c r="D23" s="121">
        <v>3900.9503999999993</v>
      </c>
      <c r="E23" s="121">
        <v>6509.0492564164406</v>
      </c>
      <c r="F23" s="121">
        <v>7814.9193353066976</v>
      </c>
      <c r="G23" s="121">
        <v>8068.693287918155</v>
      </c>
      <c r="H23" s="121">
        <v>9333.7793845987853</v>
      </c>
      <c r="I23" s="121">
        <v>10216.273473006044</v>
      </c>
      <c r="J23" s="121">
        <v>10541.915539771242</v>
      </c>
      <c r="K23" s="121">
        <v>11589.08526461435</v>
      </c>
      <c r="L23" s="121">
        <v>9853.2691926878833</v>
      </c>
      <c r="M23" s="121">
        <v>10801.761960487838</v>
      </c>
    </row>
    <row r="24" spans="2:13" ht="22.5" customHeight="1" x14ac:dyDescent="0.3">
      <c r="B24" s="113" t="s">
        <v>431</v>
      </c>
      <c r="C24" s="128">
        <v>32.775067750677508</v>
      </c>
      <c r="D24" s="129">
        <v>26.297714678639323</v>
      </c>
      <c r="E24" s="129">
        <v>43.661542738762357</v>
      </c>
      <c r="F24" s="129">
        <v>52.160285144198092</v>
      </c>
      <c r="G24" s="129">
        <v>53.586155818765008</v>
      </c>
      <c r="H24" s="129">
        <v>61.679502958511506</v>
      </c>
      <c r="I24" s="129">
        <v>67.175325847115374</v>
      </c>
      <c r="J24" s="129">
        <v>68.971670157190033</v>
      </c>
      <c r="K24" s="129">
        <v>75.445667726033008</v>
      </c>
      <c r="L24" s="129">
        <v>63.826265530932126</v>
      </c>
      <c r="M24" s="129">
        <v>69.622181551485397</v>
      </c>
    </row>
    <row r="25" spans="2:13" ht="22.5" customHeight="1" x14ac:dyDescent="0.3">
      <c r="B25" s="113" t="s">
        <v>115</v>
      </c>
      <c r="C25" s="114">
        <v>147.6</v>
      </c>
      <c r="D25" s="115">
        <v>148.33799999999997</v>
      </c>
      <c r="E25" s="115">
        <v>149.07968999999994</v>
      </c>
      <c r="F25" s="115">
        <v>149.82508844999995</v>
      </c>
      <c r="G25" s="115">
        <v>150.57421389224993</v>
      </c>
      <c r="H25" s="115">
        <v>151.32708496171117</v>
      </c>
      <c r="I25" s="115">
        <v>152.0837203865197</v>
      </c>
      <c r="J25" s="115">
        <v>152.8441389884523</v>
      </c>
      <c r="K25" s="115">
        <v>153.60835968339455</v>
      </c>
      <c r="L25" s="115">
        <v>154.37640148181148</v>
      </c>
      <c r="M25" s="115">
        <v>155.14828348922055</v>
      </c>
    </row>
    <row r="26" spans="2:13" ht="22.5" customHeight="1" x14ac:dyDescent="0.3">
      <c r="B26" s="113" t="s">
        <v>432</v>
      </c>
      <c r="C26" s="114">
        <v>0</v>
      </c>
      <c r="D26" s="115">
        <v>0</v>
      </c>
      <c r="E26" s="115">
        <v>0</v>
      </c>
      <c r="F26" s="115">
        <v>0</v>
      </c>
      <c r="G26" s="115">
        <v>0</v>
      </c>
      <c r="H26" s="115">
        <v>0</v>
      </c>
      <c r="I26" s="115">
        <v>0</v>
      </c>
      <c r="J26" s="115">
        <v>0</v>
      </c>
      <c r="K26" s="115">
        <v>0</v>
      </c>
      <c r="L26" s="115">
        <v>0</v>
      </c>
      <c r="M26" s="115">
        <v>0</v>
      </c>
    </row>
    <row r="28" spans="2:13" ht="22.5" customHeight="1" x14ac:dyDescent="0.3">
      <c r="B28" s="171" t="s">
        <v>433</v>
      </c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171"/>
    </row>
    <row r="29" spans="2:13" ht="22.5" customHeight="1" x14ac:dyDescent="0.3">
      <c r="B29" s="113" t="s">
        <v>57</v>
      </c>
      <c r="C29" s="114">
        <v>4837.6000000000004</v>
      </c>
      <c r="D29" s="115">
        <v>3900.9503999999993</v>
      </c>
      <c r="E29" s="115">
        <v>6509.0492564164406</v>
      </c>
      <c r="F29" s="115">
        <v>7814.9193353066976</v>
      </c>
      <c r="G29" s="115">
        <v>8068.693287918155</v>
      </c>
      <c r="H29" s="115">
        <v>9333.7793845987853</v>
      </c>
      <c r="I29" s="115">
        <v>10216.273473006044</v>
      </c>
      <c r="J29" s="115">
        <v>10541.915539771242</v>
      </c>
      <c r="K29" s="115">
        <v>11589.08526461435</v>
      </c>
      <c r="L29" s="115">
        <v>9853.2691926878833</v>
      </c>
      <c r="M29" s="115">
        <v>10801.761960487838</v>
      </c>
    </row>
    <row r="30" spans="2:13" ht="22.5" customHeight="1" x14ac:dyDescent="0.3">
      <c r="B30" s="113" t="s">
        <v>434</v>
      </c>
      <c r="C30" s="114">
        <v>1072</v>
      </c>
      <c r="D30" s="115">
        <v>266.96000000000004</v>
      </c>
      <c r="E30" s="115">
        <v>358.79280000000011</v>
      </c>
      <c r="F30" s="115">
        <v>376.57490400000006</v>
      </c>
      <c r="G30" s="115">
        <v>340.20522072000011</v>
      </c>
      <c r="H30" s="115">
        <v>316.39085526960008</v>
      </c>
      <c r="I30" s="115">
        <v>263.01404260072803</v>
      </c>
      <c r="J30" s="115">
        <v>241.01167254667695</v>
      </c>
      <c r="K30" s="115">
        <v>209.91896266328956</v>
      </c>
      <c r="L30" s="115">
        <v>215.7041609162321</v>
      </c>
      <c r="M30" s="115">
        <v>222.31316682983118</v>
      </c>
    </row>
    <row r="31" spans="2:13" ht="22.5" customHeight="1" x14ac:dyDescent="0.3">
      <c r="B31" s="113" t="s">
        <v>435</v>
      </c>
      <c r="C31" s="114">
        <v>715</v>
      </c>
      <c r="D31" s="115">
        <v>240</v>
      </c>
      <c r="E31" s="115">
        <v>242.696</v>
      </c>
      <c r="F31" s="115">
        <v>254.30568000000002</v>
      </c>
      <c r="G31" s="115">
        <v>266.53260240000003</v>
      </c>
      <c r="H31" s="115">
        <v>273.89986423200008</v>
      </c>
      <c r="I31" s="115">
        <v>278.14896333576007</v>
      </c>
      <c r="J31" s="115">
        <v>276.63547126225683</v>
      </c>
      <c r="K31" s="115">
        <v>273.07309139069883</v>
      </c>
      <c r="L31" s="115">
        <v>266.75767851795791</v>
      </c>
      <c r="M31" s="115">
        <v>261.65232675778532</v>
      </c>
    </row>
    <row r="32" spans="2:13" ht="22.5" customHeight="1" x14ac:dyDescent="0.3">
      <c r="B32" s="119" t="s">
        <v>436</v>
      </c>
      <c r="C32" s="120">
        <v>4480.6000000000004</v>
      </c>
      <c r="D32" s="121">
        <v>3873.9903999999992</v>
      </c>
      <c r="E32" s="121">
        <v>6392.9524564164403</v>
      </c>
      <c r="F32" s="121">
        <v>7692.6501113066979</v>
      </c>
      <c r="G32" s="121">
        <v>7995.0206695981551</v>
      </c>
      <c r="H32" s="121">
        <v>9291.2883935611862</v>
      </c>
      <c r="I32" s="121">
        <v>10231.408393741076</v>
      </c>
      <c r="J32" s="121">
        <v>10577.539338486822</v>
      </c>
      <c r="K32" s="121">
        <v>11652.239393341759</v>
      </c>
      <c r="L32" s="121">
        <v>9904.3227102896089</v>
      </c>
      <c r="M32" s="121">
        <v>10841.101120415793</v>
      </c>
    </row>
    <row r="34" spans="2:13" ht="22.5" customHeight="1" x14ac:dyDescent="0.3">
      <c r="B34" s="171" t="s">
        <v>437</v>
      </c>
      <c r="C34" s="171"/>
      <c r="D34" s="171"/>
      <c r="E34" s="171"/>
      <c r="F34" s="171"/>
      <c r="G34" s="171"/>
      <c r="H34" s="171"/>
      <c r="I34" s="171"/>
      <c r="J34" s="171"/>
      <c r="K34" s="171"/>
      <c r="L34" s="171"/>
      <c r="M34" s="171"/>
    </row>
    <row r="35" spans="2:13" ht="22.5" customHeight="1" x14ac:dyDescent="0.3">
      <c r="B35" s="119" t="s">
        <v>438</v>
      </c>
      <c r="C35" s="120">
        <v>4576.6000000000004</v>
      </c>
      <c r="D35" s="121">
        <v>3907.1583999999993</v>
      </c>
      <c r="E35" s="121">
        <v>6349.8747200000025</v>
      </c>
      <c r="F35" s="121">
        <v>7503.193291200002</v>
      </c>
      <c r="G35" s="121">
        <v>7627.7869878240008</v>
      </c>
      <c r="H35" s="121">
        <v>8733.6420757732849</v>
      </c>
      <c r="I35" s="121">
        <v>9431.5161359989324</v>
      </c>
      <c r="J35" s="121">
        <v>9495.7433947660375</v>
      </c>
      <c r="K35" s="121">
        <v>10275.663071781621</v>
      </c>
      <c r="L35" s="121">
        <v>8188.4414358548347</v>
      </c>
      <c r="M35" s="121">
        <v>8857.2177242351063</v>
      </c>
    </row>
    <row r="37" spans="2:13" ht="22.5" customHeight="1" x14ac:dyDescent="0.3">
      <c r="B37" s="171" t="s">
        <v>83</v>
      </c>
      <c r="C37" s="171"/>
      <c r="D37" s="171"/>
      <c r="E37" s="171"/>
      <c r="F37" s="171"/>
      <c r="G37" s="171"/>
      <c r="H37" s="171"/>
      <c r="I37" s="171"/>
      <c r="J37" s="171"/>
      <c r="K37" s="171"/>
      <c r="L37" s="171"/>
      <c r="M37" s="171"/>
    </row>
    <row r="38" spans="2:13" ht="22.5" customHeight="1" x14ac:dyDescent="0.3">
      <c r="B38" s="113" t="s">
        <v>439</v>
      </c>
      <c r="C38" s="114">
        <v>1350</v>
      </c>
      <c r="D38" s="115">
        <v>2693.3424657534247</v>
      </c>
      <c r="E38" s="115">
        <v>3770.6794520547946</v>
      </c>
      <c r="F38" s="115">
        <v>4901.8832876712331</v>
      </c>
      <c r="G38" s="115">
        <v>5882.2599452054801</v>
      </c>
      <c r="H38" s="115">
        <v>6764.5989369863028</v>
      </c>
      <c r="I38" s="115">
        <v>7441.0588306849331</v>
      </c>
      <c r="J38" s="115">
        <v>8036.3435371397272</v>
      </c>
      <c r="K38" s="115">
        <v>8518.5241493681096</v>
      </c>
      <c r="L38" s="115">
        <v>9029.6355983301964</v>
      </c>
      <c r="M38" s="115">
        <v>9571.4137342300091</v>
      </c>
    </row>
    <row r="39" spans="2:13" ht="22.5" customHeight="1" x14ac:dyDescent="0.3">
      <c r="B39" s="113" t="s">
        <v>440</v>
      </c>
      <c r="C39" s="114">
        <v>2200</v>
      </c>
      <c r="D39" s="115">
        <v>2678.4473424657535</v>
      </c>
      <c r="E39" s="115">
        <v>3600.428252054794</v>
      </c>
      <c r="F39" s="115">
        <v>5030.7452482191784</v>
      </c>
      <c r="G39" s="115">
        <v>6555.4552859178093</v>
      </c>
      <c r="H39" s="115">
        <v>7616.5817740273978</v>
      </c>
      <c r="I39" s="115">
        <v>8484.6571741242751</v>
      </c>
      <c r="J39" s="115">
        <v>9407.5748800423116</v>
      </c>
      <c r="K39" s="115">
        <v>9932.3761141807936</v>
      </c>
      <c r="L39" s="115">
        <v>11374.418397757629</v>
      </c>
      <c r="M39" s="115">
        <v>12015.628251309003</v>
      </c>
    </row>
    <row r="40" spans="2:13" ht="22.5" customHeight="1" x14ac:dyDescent="0.3">
      <c r="B40" s="113" t="s">
        <v>441</v>
      </c>
      <c r="C40" s="114">
        <v>730</v>
      </c>
      <c r="D40" s="115">
        <v>1339.2236712328768</v>
      </c>
      <c r="E40" s="115">
        <v>1800.214126027397</v>
      </c>
      <c r="F40" s="115">
        <v>2515.3726241095892</v>
      </c>
      <c r="G40" s="115">
        <v>3277.7276429589047</v>
      </c>
      <c r="H40" s="115">
        <v>3808.2908870136989</v>
      </c>
      <c r="I40" s="115">
        <v>4242.3285870621376</v>
      </c>
      <c r="J40" s="115">
        <v>4703.7874400211558</v>
      </c>
      <c r="K40" s="115">
        <v>4966.1880570903968</v>
      </c>
      <c r="L40" s="115">
        <v>5687.2091988788143</v>
      </c>
      <c r="M40" s="115">
        <v>6007.8141256545014</v>
      </c>
    </row>
    <row r="41" spans="2:13" ht="22.5" customHeight="1" x14ac:dyDescent="0.3">
      <c r="B41" s="113" t="s">
        <v>442</v>
      </c>
      <c r="C41" s="114">
        <v>2820</v>
      </c>
      <c r="D41" s="115">
        <v>4032.5661369863014</v>
      </c>
      <c r="E41" s="115">
        <v>5570.8935780821921</v>
      </c>
      <c r="F41" s="115">
        <v>7417.2559117808223</v>
      </c>
      <c r="G41" s="115">
        <v>9159.9875881643857</v>
      </c>
      <c r="H41" s="115">
        <v>10572.889824000002</v>
      </c>
      <c r="I41" s="115">
        <v>11683.387417747072</v>
      </c>
      <c r="J41" s="115">
        <v>12740.130977160883</v>
      </c>
      <c r="K41" s="115">
        <v>13484.712206458506</v>
      </c>
      <c r="L41" s="115">
        <v>14716.844797209011</v>
      </c>
      <c r="M41" s="115">
        <v>15579.227859884511</v>
      </c>
    </row>
    <row r="42" spans="2:13" ht="22.5" customHeight="1" x14ac:dyDescent="0.3">
      <c r="B42" s="113" t="s">
        <v>443</v>
      </c>
      <c r="C42" s="114">
        <v>0</v>
      </c>
      <c r="D42" s="115">
        <v>1212.5661369863014</v>
      </c>
      <c r="E42" s="115">
        <v>1538.3274410958907</v>
      </c>
      <c r="F42" s="115">
        <v>1846.3623336986302</v>
      </c>
      <c r="G42" s="115">
        <v>1742.7316763835634</v>
      </c>
      <c r="H42" s="115">
        <v>1412.902235835616</v>
      </c>
      <c r="I42" s="115">
        <v>1110.4975937470699</v>
      </c>
      <c r="J42" s="115">
        <v>1056.7435594138115</v>
      </c>
      <c r="K42" s="115">
        <v>744.58122929762249</v>
      </c>
      <c r="L42" s="115">
        <v>1232.1325907505052</v>
      </c>
      <c r="M42" s="115">
        <v>862.3830626755007</v>
      </c>
    </row>
    <row r="44" spans="2:13" ht="22.5" customHeight="1" x14ac:dyDescent="0.3">
      <c r="B44" s="171" t="s">
        <v>398</v>
      </c>
      <c r="C44" s="171"/>
      <c r="D44" s="171"/>
      <c r="E44" s="171"/>
      <c r="F44" s="171"/>
      <c r="G44" s="171"/>
      <c r="H44" s="171"/>
      <c r="I44" s="171"/>
      <c r="J44" s="171"/>
      <c r="K44" s="171"/>
      <c r="L44" s="171"/>
      <c r="M44" s="171"/>
    </row>
    <row r="45" spans="2:13" ht="22.5" customHeight="1" x14ac:dyDescent="0.3">
      <c r="B45" s="119" t="s">
        <v>444</v>
      </c>
      <c r="C45" s="120">
        <v>2400</v>
      </c>
      <c r="D45" s="121">
        <v>2426.96</v>
      </c>
      <c r="E45" s="121">
        <v>2543.0568000000003</v>
      </c>
      <c r="F45" s="121">
        <v>2665.3260240000004</v>
      </c>
      <c r="G45" s="121">
        <v>2738.9986423200007</v>
      </c>
      <c r="H45" s="121">
        <v>2781.4896333576007</v>
      </c>
      <c r="I45" s="121">
        <v>2766.3547126225685</v>
      </c>
      <c r="J45" s="121">
        <v>2730.7309139069885</v>
      </c>
      <c r="K45" s="121">
        <v>2667.576785179579</v>
      </c>
      <c r="L45" s="121">
        <v>2616.5232675778534</v>
      </c>
      <c r="M45" s="121">
        <v>2577.1841076498995</v>
      </c>
    </row>
    <row r="46" spans="2:13" ht="22.5" customHeight="1" x14ac:dyDescent="0.3">
      <c r="B46" s="113" t="s">
        <v>445</v>
      </c>
      <c r="C46" s="114">
        <v>715</v>
      </c>
      <c r="D46" s="115">
        <v>240</v>
      </c>
      <c r="E46" s="115">
        <v>242.696</v>
      </c>
      <c r="F46" s="115">
        <v>254.30568000000002</v>
      </c>
      <c r="G46" s="115">
        <v>266.53260240000003</v>
      </c>
      <c r="H46" s="115">
        <v>273.89986423200008</v>
      </c>
      <c r="I46" s="115">
        <v>278.14896333576007</v>
      </c>
      <c r="J46" s="115">
        <v>276.63547126225683</v>
      </c>
      <c r="K46" s="115">
        <v>273.07309139069883</v>
      </c>
      <c r="L46" s="115">
        <v>266.75767851795791</v>
      </c>
      <c r="M46" s="115">
        <v>261.65232675778532</v>
      </c>
    </row>
    <row r="47" spans="2:13" ht="22.5" customHeight="1" x14ac:dyDescent="0.3">
      <c r="B47" s="113" t="s">
        <v>446</v>
      </c>
      <c r="C47" s="114">
        <v>0</v>
      </c>
      <c r="D47" s="115">
        <v>72</v>
      </c>
      <c r="E47" s="115">
        <v>72.808800000000005</v>
      </c>
      <c r="F47" s="115">
        <v>76.29170400000001</v>
      </c>
      <c r="G47" s="115">
        <v>79.959780720000012</v>
      </c>
      <c r="H47" s="115">
        <v>82.169959269600014</v>
      </c>
      <c r="I47" s="115">
        <v>83.444689000728019</v>
      </c>
      <c r="J47" s="115">
        <v>82.990641378677054</v>
      </c>
      <c r="K47" s="115">
        <v>81.921927417209645</v>
      </c>
      <c r="L47" s="115">
        <v>80.027303555387363</v>
      </c>
      <c r="M47" s="115">
        <v>78.495698027335592</v>
      </c>
    </row>
    <row r="48" spans="2:13" ht="22.5" customHeight="1" x14ac:dyDescent="0.3">
      <c r="B48" s="113" t="s">
        <v>447</v>
      </c>
      <c r="C48" s="114">
        <v>0</v>
      </c>
      <c r="D48" s="115">
        <v>194.96</v>
      </c>
      <c r="E48" s="115">
        <v>285.98400000000009</v>
      </c>
      <c r="F48" s="115">
        <v>300.28320000000008</v>
      </c>
      <c r="G48" s="115">
        <v>260.24544000000009</v>
      </c>
      <c r="H48" s="115">
        <v>234.22089600000007</v>
      </c>
      <c r="I48" s="115">
        <v>179.56935360000003</v>
      </c>
      <c r="J48" s="115">
        <v>158.02103116799989</v>
      </c>
      <c r="K48" s="115">
        <v>127.9970352460799</v>
      </c>
      <c r="L48" s="115">
        <v>135.67685736084474</v>
      </c>
      <c r="M48" s="115">
        <v>143.81746880249557</v>
      </c>
    </row>
    <row r="49" spans="2:13" ht="22.5" customHeight="1" x14ac:dyDescent="0.3">
      <c r="B49" s="119" t="s">
        <v>448</v>
      </c>
      <c r="C49" s="120">
        <v>1072</v>
      </c>
      <c r="D49" s="121">
        <v>266.96000000000004</v>
      </c>
      <c r="E49" s="121">
        <v>358.79280000000011</v>
      </c>
      <c r="F49" s="121">
        <v>376.57490400000006</v>
      </c>
      <c r="G49" s="121">
        <v>340.20522072000011</v>
      </c>
      <c r="H49" s="121">
        <v>316.39085526960008</v>
      </c>
      <c r="I49" s="121">
        <v>263.01404260072803</v>
      </c>
      <c r="J49" s="121">
        <v>241.01167254667695</v>
      </c>
      <c r="K49" s="121">
        <v>209.91896266328956</v>
      </c>
      <c r="L49" s="121">
        <v>215.7041609162321</v>
      </c>
      <c r="M49" s="121">
        <v>222.31316682983118</v>
      </c>
    </row>
    <row r="51" spans="2:13" ht="22.5" customHeight="1" x14ac:dyDescent="0.3">
      <c r="B51" s="171" t="s">
        <v>449</v>
      </c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</row>
    <row r="52" spans="2:13" ht="22.5" customHeight="1" x14ac:dyDescent="0.3">
      <c r="B52" s="113" t="s">
        <v>58</v>
      </c>
      <c r="C52" s="114">
        <v>358</v>
      </c>
      <c r="D52" s="115">
        <v>714.96</v>
      </c>
      <c r="E52" s="115">
        <v>1000.9440000000001</v>
      </c>
      <c r="F52" s="115">
        <v>1301.2272000000003</v>
      </c>
      <c r="G52" s="115">
        <v>1561.4726400000002</v>
      </c>
      <c r="H52" s="115">
        <v>1795.6935360000004</v>
      </c>
      <c r="I52" s="115">
        <v>1975.2628896000003</v>
      </c>
      <c r="J52" s="115">
        <v>2133.2839207680004</v>
      </c>
      <c r="K52" s="115">
        <v>2261.2809560140804</v>
      </c>
      <c r="L52" s="115">
        <v>2396.9578133749251</v>
      </c>
      <c r="M52" s="115">
        <v>2540.7752821774206</v>
      </c>
    </row>
    <row r="53" spans="2:13" ht="22.5" customHeight="1" x14ac:dyDescent="0.3">
      <c r="B53" s="113" t="s">
        <v>450</v>
      </c>
      <c r="C53" s="114">
        <v>2583</v>
      </c>
      <c r="D53" s="115">
        <v>2505.5100000000002</v>
      </c>
      <c r="E53" s="115">
        <v>2430.3447000000001</v>
      </c>
      <c r="F53" s="115">
        <v>2357.4343590000003</v>
      </c>
      <c r="G53" s="115">
        <v>2286.7113282300002</v>
      </c>
      <c r="H53" s="115">
        <v>2218.1099883831002</v>
      </c>
      <c r="I53" s="115">
        <v>2151.5666887316074</v>
      </c>
      <c r="J53" s="115">
        <v>2087.0196880696594</v>
      </c>
      <c r="K53" s="115">
        <v>2024.4090974275696</v>
      </c>
      <c r="L53" s="115">
        <v>1963.6768245047424</v>
      </c>
      <c r="M53" s="115">
        <v>1904.7665197696001</v>
      </c>
    </row>
    <row r="54" spans="2:13" ht="22.5" customHeight="1" x14ac:dyDescent="0.3">
      <c r="B54" s="24" t="s">
        <v>451</v>
      </c>
      <c r="C54" s="117">
        <v>255</v>
      </c>
      <c r="D54" s="118">
        <v>2598.934263013698</v>
      </c>
      <c r="E54" s="118">
        <v>7135.6979783342476</v>
      </c>
      <c r="F54" s="118">
        <v>12654.769734942314</v>
      </c>
      <c r="G54" s="118">
        <v>18569.803094986906</v>
      </c>
      <c r="H54" s="118">
        <v>26105.688048633576</v>
      </c>
      <c r="I54" s="118">
        <v>34881.906585640332</v>
      </c>
      <c r="J54" s="118">
        <v>44061.51989278914</v>
      </c>
      <c r="K54" s="118">
        <v>54633.494374800488</v>
      </c>
      <c r="L54" s="118">
        <v>62978.194542898804</v>
      </c>
      <c r="M54" s="118">
        <v>72636.349969146162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67ADE-CB82-4F45-BD3E-6215A13DEEBA}">
  <sheetPr codeName="Sheet3"/>
  <dimension ref="B1:M59"/>
  <sheetViews>
    <sheetView showGridLines="0" workbookViewId="0">
      <pane ySplit="1" topLeftCell="A14" activePane="bottomLeft" state="frozen"/>
      <selection pane="bottomLeft" activeCell="A2" sqref="A2"/>
    </sheetView>
  </sheetViews>
  <sheetFormatPr defaultRowHeight="22.5" customHeight="1" x14ac:dyDescent="0.3"/>
  <cols>
    <col min="1" max="1" width="2.7109375" style="21" customWidth="1"/>
    <col min="2" max="2" width="35.7109375" style="21" customWidth="1"/>
    <col min="3" max="18" width="14.7109375" style="21" customWidth="1"/>
    <col min="19" max="16384" width="9.140625" style="21"/>
  </cols>
  <sheetData>
    <row r="1" spans="2:13" ht="13.5" customHeight="1" x14ac:dyDescent="0.3">
      <c r="B1" s="22" t="s">
        <v>452</v>
      </c>
    </row>
    <row r="3" spans="2:13" ht="22.5" customHeight="1" x14ac:dyDescent="0.3">
      <c r="B3" s="171" t="s">
        <v>453</v>
      </c>
      <c r="C3" s="171"/>
      <c r="D3" s="171"/>
      <c r="E3" s="171"/>
      <c r="F3" s="171"/>
      <c r="G3" s="171"/>
      <c r="H3" s="171"/>
      <c r="I3" s="171"/>
      <c r="J3" s="171"/>
      <c r="K3" s="171"/>
      <c r="L3" s="171"/>
      <c r="M3" s="171"/>
    </row>
    <row r="4" spans="2:13" ht="22.5" customHeight="1" x14ac:dyDescent="0.3">
      <c r="B4" s="112" t="s">
        <v>454</v>
      </c>
      <c r="C4" s="23">
        <v>2025</v>
      </c>
      <c r="D4" s="23">
        <v>2026</v>
      </c>
      <c r="E4" s="23">
        <v>2027</v>
      </c>
      <c r="F4" s="23">
        <v>2028</v>
      </c>
      <c r="G4" s="23">
        <v>2029</v>
      </c>
      <c r="H4" s="23">
        <v>2030</v>
      </c>
      <c r="I4" s="23">
        <v>2031</v>
      </c>
      <c r="J4" s="23">
        <v>2032</v>
      </c>
      <c r="K4" s="23">
        <v>2033</v>
      </c>
      <c r="L4" s="23">
        <v>2034</v>
      </c>
      <c r="M4" s="23">
        <v>2035</v>
      </c>
    </row>
    <row r="5" spans="2:13" ht="22.5" customHeight="1" x14ac:dyDescent="0.3">
      <c r="B5" s="113" t="s">
        <v>57</v>
      </c>
      <c r="C5" s="114">
        <v>4837.6000000000004</v>
      </c>
      <c r="D5" s="115">
        <v>3900.9503999999993</v>
      </c>
      <c r="E5" s="115">
        <v>6509.0492564164406</v>
      </c>
      <c r="F5" s="115">
        <v>7814.9193353066976</v>
      </c>
      <c r="G5" s="115">
        <v>8068.693287918155</v>
      </c>
      <c r="H5" s="115">
        <v>9333.7793845987853</v>
      </c>
      <c r="I5" s="115">
        <v>10216.273473006044</v>
      </c>
      <c r="J5" s="115">
        <v>10541.915539771242</v>
      </c>
      <c r="K5" s="115">
        <v>11589.08526461435</v>
      </c>
      <c r="L5" s="115">
        <v>9853.2691926878833</v>
      </c>
      <c r="M5" s="115">
        <v>10801.761960487838</v>
      </c>
    </row>
    <row r="6" spans="2:13" ht="22.5" customHeight="1" x14ac:dyDescent="0.3">
      <c r="B6" s="119" t="s">
        <v>455</v>
      </c>
      <c r="C6" s="120">
        <v>4480.6000000000004</v>
      </c>
      <c r="D6" s="121">
        <v>3873.9903999999992</v>
      </c>
      <c r="E6" s="121">
        <v>6392.9524564164403</v>
      </c>
      <c r="F6" s="121">
        <v>7692.6501113066979</v>
      </c>
      <c r="G6" s="121">
        <v>7995.0206695981551</v>
      </c>
      <c r="H6" s="121">
        <v>9291.2883935611862</v>
      </c>
      <c r="I6" s="121">
        <v>10231.408393741076</v>
      </c>
      <c r="J6" s="121">
        <v>10577.539338486822</v>
      </c>
      <c r="K6" s="121">
        <v>11652.239393341759</v>
      </c>
      <c r="L6" s="121">
        <v>9904.3227102896089</v>
      </c>
      <c r="M6" s="121">
        <v>10841.101120415793</v>
      </c>
    </row>
    <row r="7" spans="2:13" ht="22.5" customHeight="1" x14ac:dyDescent="0.3">
      <c r="B7" s="123" t="s">
        <v>456</v>
      </c>
      <c r="C7" s="114">
        <v>4576.6000000000004</v>
      </c>
      <c r="D7" s="115">
        <v>3907.1583999999993</v>
      </c>
      <c r="E7" s="115">
        <v>6349.8747200000025</v>
      </c>
      <c r="F7" s="115">
        <v>7503.193291200002</v>
      </c>
      <c r="G7" s="115">
        <v>7627.7869878240008</v>
      </c>
      <c r="H7" s="115">
        <v>8733.6420757732849</v>
      </c>
      <c r="I7" s="115">
        <v>9431.5161359989324</v>
      </c>
      <c r="J7" s="115">
        <v>9495.7433947660375</v>
      </c>
      <c r="K7" s="115">
        <v>10275.663071781621</v>
      </c>
      <c r="L7" s="115">
        <v>8188.4414358548347</v>
      </c>
      <c r="M7" s="115">
        <v>8857.2177242351063</v>
      </c>
    </row>
    <row r="8" spans="2:13" ht="22.5" customHeight="1" x14ac:dyDescent="0.3">
      <c r="B8" s="113" t="s">
        <v>429</v>
      </c>
      <c r="C8" s="114">
        <v>0</v>
      </c>
      <c r="D8" s="115">
        <v>154.97999999999999</v>
      </c>
      <c r="E8" s="115">
        <v>150.3306</v>
      </c>
      <c r="F8" s="115">
        <v>145.82068200000001</v>
      </c>
      <c r="G8" s="115">
        <v>141.44606154000002</v>
      </c>
      <c r="H8" s="115">
        <v>137.20267969380001</v>
      </c>
      <c r="I8" s="115">
        <v>133.086599302986</v>
      </c>
      <c r="J8" s="115">
        <v>129.09400132389644</v>
      </c>
      <c r="K8" s="115">
        <v>125.22118128417956</v>
      </c>
      <c r="L8" s="115">
        <v>121.46454584565417</v>
      </c>
      <c r="M8" s="115">
        <v>117.82060947028454</v>
      </c>
    </row>
    <row r="9" spans="2:13" ht="22.5" customHeight="1" x14ac:dyDescent="0.3">
      <c r="B9" s="113" t="s">
        <v>457</v>
      </c>
      <c r="C9" s="114">
        <v>0</v>
      </c>
      <c r="D9" s="115">
        <v>1212.5661369863014</v>
      </c>
      <c r="E9" s="115">
        <v>1538.3274410958907</v>
      </c>
      <c r="F9" s="115">
        <v>1846.3623336986302</v>
      </c>
      <c r="G9" s="115">
        <v>1742.7316763835634</v>
      </c>
      <c r="H9" s="115">
        <v>1412.902235835616</v>
      </c>
      <c r="I9" s="115">
        <v>1110.4975937470699</v>
      </c>
      <c r="J9" s="115">
        <v>1056.7435594138115</v>
      </c>
      <c r="K9" s="115">
        <v>744.58122929762249</v>
      </c>
      <c r="L9" s="115">
        <v>1232.1325907505052</v>
      </c>
      <c r="M9" s="115">
        <v>862.3830626755007</v>
      </c>
    </row>
    <row r="10" spans="2:13" ht="22.5" customHeight="1" x14ac:dyDescent="0.3">
      <c r="B10" s="113" t="s">
        <v>432</v>
      </c>
      <c r="C10" s="114">
        <v>0</v>
      </c>
      <c r="D10" s="115">
        <v>0</v>
      </c>
      <c r="E10" s="115">
        <v>0</v>
      </c>
      <c r="F10" s="115">
        <v>0</v>
      </c>
      <c r="G10" s="115">
        <v>0</v>
      </c>
      <c r="H10" s="115">
        <v>0</v>
      </c>
      <c r="I10" s="115">
        <v>0</v>
      </c>
      <c r="J10" s="115">
        <v>0</v>
      </c>
      <c r="K10" s="115">
        <v>0</v>
      </c>
      <c r="L10" s="115">
        <v>0</v>
      </c>
      <c r="M10" s="115">
        <v>0</v>
      </c>
    </row>
    <row r="11" spans="2:13" ht="22.5" customHeight="1" x14ac:dyDescent="0.3">
      <c r="B11" s="113" t="s">
        <v>450</v>
      </c>
      <c r="C11" s="114">
        <v>2583</v>
      </c>
      <c r="D11" s="115">
        <v>2505.5100000000002</v>
      </c>
      <c r="E11" s="115">
        <v>2430.3447000000001</v>
      </c>
      <c r="F11" s="115">
        <v>2357.4343590000003</v>
      </c>
      <c r="G11" s="115">
        <v>2286.7113282300002</v>
      </c>
      <c r="H11" s="115">
        <v>2218.1099883831002</v>
      </c>
      <c r="I11" s="115">
        <v>2151.5666887316074</v>
      </c>
      <c r="J11" s="115">
        <v>2087.0196880696594</v>
      </c>
      <c r="K11" s="115">
        <v>2024.4090974275696</v>
      </c>
      <c r="L11" s="115">
        <v>1963.6768245047424</v>
      </c>
      <c r="M11" s="115">
        <v>1904.7665197696001</v>
      </c>
    </row>
    <row r="13" spans="2:13" ht="22.5" customHeight="1" x14ac:dyDescent="0.3">
      <c r="B13" s="171" t="s">
        <v>458</v>
      </c>
      <c r="C13" s="171"/>
      <c r="D13" s="171"/>
    </row>
    <row r="14" spans="2:13" ht="22.5" customHeight="1" x14ac:dyDescent="0.3">
      <c r="B14" s="112" t="s">
        <v>459</v>
      </c>
      <c r="C14" s="23" t="s">
        <v>460</v>
      </c>
      <c r="D14" s="23" t="s">
        <v>461</v>
      </c>
    </row>
    <row r="15" spans="2:13" ht="22.5" customHeight="1" x14ac:dyDescent="0.3">
      <c r="B15" s="113" t="s">
        <v>462</v>
      </c>
      <c r="C15" s="115">
        <v>104394.13370864451</v>
      </c>
      <c r="D15" s="115">
        <v>88407.788411443209</v>
      </c>
    </row>
    <row r="16" spans="2:13" ht="22.5" customHeight="1" x14ac:dyDescent="0.3">
      <c r="B16" s="113" t="s">
        <v>534</v>
      </c>
      <c r="C16" s="115">
        <v>0</v>
      </c>
      <c r="D16" s="115">
        <v>255</v>
      </c>
    </row>
    <row r="17" spans="2:10" ht="22.5" customHeight="1" x14ac:dyDescent="0.3">
      <c r="B17" s="119" t="s">
        <v>463</v>
      </c>
      <c r="C17" s="121">
        <v>104394.13370864451</v>
      </c>
      <c r="D17" s="121">
        <v>88662.788411443209</v>
      </c>
    </row>
    <row r="18" spans="2:10" ht="22.5" customHeight="1" x14ac:dyDescent="0.3">
      <c r="B18" s="113" t="s">
        <v>464</v>
      </c>
      <c r="C18" s="115">
        <v>155.14828348922055</v>
      </c>
      <c r="D18" s="130"/>
    </row>
    <row r="19" spans="2:10" ht="22.5" customHeight="1" x14ac:dyDescent="0.3">
      <c r="B19" s="119" t="s">
        <v>465</v>
      </c>
      <c r="C19" s="131">
        <v>672.86683011157936</v>
      </c>
      <c r="D19" s="132">
        <v>571.47128165039192</v>
      </c>
    </row>
    <row r="20" spans="2:10" ht="22.5" customHeight="1" x14ac:dyDescent="0.3">
      <c r="B20" s="113" t="s">
        <v>466</v>
      </c>
      <c r="C20" s="151">
        <v>0.14045225442640569</v>
      </c>
      <c r="D20" s="134">
        <v>-3.1404607372217092E-2</v>
      </c>
    </row>
    <row r="22" spans="2:10" ht="22.5" customHeight="1" x14ac:dyDescent="0.3">
      <c r="B22" s="171" t="s">
        <v>467</v>
      </c>
      <c r="C22" s="171"/>
      <c r="D22" s="171"/>
    </row>
    <row r="23" spans="2:10" ht="22.5" customHeight="1" x14ac:dyDescent="0.3">
      <c r="B23" s="112" t="s">
        <v>468</v>
      </c>
      <c r="C23" s="23" t="s">
        <v>469</v>
      </c>
      <c r="D23" s="23" t="s">
        <v>116</v>
      </c>
    </row>
    <row r="24" spans="2:10" ht="22.5" customHeight="1" x14ac:dyDescent="0.3">
      <c r="B24" s="119" t="s">
        <v>540</v>
      </c>
      <c r="C24" s="121">
        <v>104394.13370864451</v>
      </c>
      <c r="D24" s="132">
        <v>672.86683011157936</v>
      </c>
    </row>
    <row r="25" spans="2:10" ht="22.5" customHeight="1" x14ac:dyDescent="0.3">
      <c r="B25" s="113" t="s">
        <v>541</v>
      </c>
      <c r="C25" s="115">
        <v>106341.03056173037</v>
      </c>
      <c r="D25" s="129">
        <v>685.41545011111111</v>
      </c>
    </row>
    <row r="26" spans="2:10" ht="22.5" customHeight="1" x14ac:dyDescent="0.3">
      <c r="B26" s="113" t="s">
        <v>470</v>
      </c>
      <c r="C26" s="115">
        <v>89817.348483730442</v>
      </c>
      <c r="D26" s="129">
        <v>578.91293711909361</v>
      </c>
    </row>
    <row r="28" spans="2:10" ht="22.5" customHeight="1" x14ac:dyDescent="0.3">
      <c r="B28" s="171" t="s">
        <v>471</v>
      </c>
      <c r="C28" s="171"/>
      <c r="D28" s="171"/>
      <c r="E28" s="171"/>
      <c r="F28" s="171"/>
      <c r="G28" s="171"/>
      <c r="H28" s="171"/>
      <c r="I28" s="171"/>
      <c r="J28" s="126"/>
    </row>
    <row r="29" spans="2:10" ht="22.5" customHeight="1" x14ac:dyDescent="0.3">
      <c r="B29" s="112" t="s">
        <v>472</v>
      </c>
      <c r="C29" s="137">
        <v>0.01</v>
      </c>
      <c r="D29" s="137">
        <v>1.4999999999999999E-2</v>
      </c>
      <c r="E29" s="137">
        <v>0.02</v>
      </c>
      <c r="F29" s="137">
        <v>2.5000000000000001E-2</v>
      </c>
      <c r="G29" s="137">
        <v>0.03</v>
      </c>
      <c r="H29" s="137">
        <v>3.5000000000000003E-2</v>
      </c>
      <c r="I29" s="137">
        <v>0.04</v>
      </c>
    </row>
    <row r="30" spans="2:10" ht="22.5" customHeight="1" x14ac:dyDescent="0.3">
      <c r="B30" s="135">
        <v>0.06</v>
      </c>
      <c r="C30" s="152">
        <v>1007.5653000836215</v>
      </c>
      <c r="D30" s="152">
        <v>1066.0813952577314</v>
      </c>
      <c r="E30" s="152">
        <v>1132.8065958730467</v>
      </c>
      <c r="F30" s="152">
        <v>1209.169862814382</v>
      </c>
      <c r="G30" s="152">
        <v>1296.8760320775466</v>
      </c>
      <c r="H30" s="152">
        <v>1397.9619011595973</v>
      </c>
      <c r="I30" s="152">
        <v>1514.8639992751973</v>
      </c>
    </row>
    <row r="31" spans="2:10" ht="22.5" customHeight="1" x14ac:dyDescent="0.3">
      <c r="B31" s="135">
        <v>7.0000000000000007E-2</v>
      </c>
      <c r="C31" s="152">
        <v>845.4747002405735</v>
      </c>
      <c r="D31" s="152">
        <v>887.05661336733203</v>
      </c>
      <c r="E31" s="152">
        <v>934.0855234714935</v>
      </c>
      <c r="F31" s="152">
        <v>987.46925347436036</v>
      </c>
      <c r="G31" s="152">
        <v>1048.285962137425</v>
      </c>
      <c r="H31" s="152">
        <v>1117.8181029872687</v>
      </c>
      <c r="I31" s="152">
        <v>1197.5933591091018</v>
      </c>
    </row>
    <row r="32" spans="2:10" ht="22.5" customHeight="1" x14ac:dyDescent="0.3">
      <c r="B32" s="135">
        <v>0.08</v>
      </c>
      <c r="C32" s="152">
        <v>722.05767531787774</v>
      </c>
      <c r="D32" s="152">
        <v>752.15326501887967</v>
      </c>
      <c r="E32" s="152">
        <v>785.92162230945246</v>
      </c>
      <c r="F32" s="152">
        <v>823.94717502846788</v>
      </c>
      <c r="G32" s="152">
        <v>866.92068963538395</v>
      </c>
      <c r="H32" s="152">
        <v>915.6600283803225</v>
      </c>
      <c r="I32" s="152">
        <v>971.13510662096144</v>
      </c>
    </row>
    <row r="33" spans="2:9" ht="22.5" customHeight="1" x14ac:dyDescent="0.3">
      <c r="B33" s="135">
        <v>0.09</v>
      </c>
      <c r="C33" s="152">
        <v>626.0205545176475</v>
      </c>
      <c r="D33" s="152">
        <v>648.18555219433654</v>
      </c>
      <c r="E33" s="152">
        <v>672.86683011157936</v>
      </c>
      <c r="F33" s="152">
        <v>700.44569772062925</v>
      </c>
      <c r="G33" s="152">
        <v>731.37059832362979</v>
      </c>
      <c r="H33" s="152">
        <v>766.16991915203289</v>
      </c>
      <c r="I33" s="152">
        <v>805.46735186200181</v>
      </c>
    </row>
    <row r="34" spans="2:9" ht="22.5" customHeight="1" x14ac:dyDescent="0.3">
      <c r="B34" s="135">
        <v>0.1</v>
      </c>
      <c r="C34" s="136">
        <v>549.78696000919592</v>
      </c>
      <c r="D34" s="136">
        <v>566.38043643309982</v>
      </c>
      <c r="E34" s="136">
        <v>584.72516125079085</v>
      </c>
      <c r="F34" s="152">
        <v>605.07329755679973</v>
      </c>
      <c r="G34" s="152">
        <v>627.71987549483663</v>
      </c>
      <c r="H34" s="152">
        <v>653.01077507588968</v>
      </c>
      <c r="I34" s="152">
        <v>681.35227095026266</v>
      </c>
    </row>
    <row r="35" spans="2:9" ht="22.5" customHeight="1" x14ac:dyDescent="0.3">
      <c r="B35" s="135">
        <v>0.11</v>
      </c>
      <c r="C35" s="136">
        <v>488.17467925250833</v>
      </c>
      <c r="D35" s="136">
        <v>500.78757970472157</v>
      </c>
      <c r="E35" s="136">
        <v>514.63812408155036</v>
      </c>
      <c r="F35" s="136">
        <v>529.8953375580744</v>
      </c>
      <c r="G35" s="136">
        <v>546.7559333182121</v>
      </c>
      <c r="H35" s="136">
        <v>565.44933633801554</v>
      </c>
      <c r="I35" s="136">
        <v>586.24367203445502</v>
      </c>
    </row>
    <row r="36" spans="2:9" ht="22.5" customHeight="1" x14ac:dyDescent="0.3">
      <c r="B36" s="135">
        <v>0.12</v>
      </c>
      <c r="C36" s="136">
        <v>437.57025224328351</v>
      </c>
      <c r="D36" s="136">
        <v>447.29302038782913</v>
      </c>
      <c r="E36" s="136">
        <v>457.90353050644143</v>
      </c>
      <c r="F36" s="136">
        <v>469.51661415045737</v>
      </c>
      <c r="G36" s="136">
        <v>482.26519485285695</v>
      </c>
      <c r="H36" s="136">
        <v>496.30348129393298</v>
      </c>
      <c r="I36" s="136">
        <v>511.81076169414735</v>
      </c>
    </row>
    <row r="37" spans="2:9" ht="22.5" customHeight="1" x14ac:dyDescent="0.3">
      <c r="B37" s="135">
        <v>0.13</v>
      </c>
      <c r="C37" s="136">
        <v>395.40612512819058</v>
      </c>
      <c r="D37" s="136">
        <v>402.99813315576745</v>
      </c>
      <c r="E37" s="136">
        <v>411.23603462046066</v>
      </c>
      <c r="F37" s="136">
        <v>420.1988881351536</v>
      </c>
      <c r="G37" s="136">
        <v>429.97771227190179</v>
      </c>
      <c r="H37" s="136">
        <v>440.67753562825789</v>
      </c>
      <c r="I37" s="136">
        <v>452.41982482684153</v>
      </c>
    </row>
    <row r="39" spans="2:9" ht="22.5" customHeight="1" x14ac:dyDescent="0.3">
      <c r="B39" s="171" t="s">
        <v>473</v>
      </c>
      <c r="C39" s="171"/>
    </row>
    <row r="40" spans="2:9" ht="22.5" customHeight="1" x14ac:dyDescent="0.3">
      <c r="B40" s="113" t="s">
        <v>474</v>
      </c>
      <c r="C40" s="140" t="s">
        <v>408</v>
      </c>
    </row>
    <row r="41" spans="2:9" ht="22.5" customHeight="1" x14ac:dyDescent="0.3">
      <c r="B41" s="113" t="s">
        <v>475</v>
      </c>
      <c r="C41" s="140" t="s">
        <v>476</v>
      </c>
    </row>
    <row r="42" spans="2:9" ht="22.5" customHeight="1" x14ac:dyDescent="0.3">
      <c r="B42" s="113" t="s">
        <v>477</v>
      </c>
      <c r="C42" s="142">
        <v>0.09</v>
      </c>
    </row>
    <row r="43" spans="2:9" ht="22.5" customHeight="1" x14ac:dyDescent="0.3">
      <c r="B43" s="113" t="s">
        <v>478</v>
      </c>
      <c r="C43" s="140" t="s">
        <v>479</v>
      </c>
    </row>
    <row r="44" spans="2:9" ht="22.5" customHeight="1" x14ac:dyDescent="0.3">
      <c r="B44" s="113" t="s">
        <v>1</v>
      </c>
      <c r="C44" s="142">
        <v>0.02</v>
      </c>
    </row>
    <row r="45" spans="2:9" ht="22.5" customHeight="1" x14ac:dyDescent="0.3">
      <c r="B45" s="113" t="s">
        <v>480</v>
      </c>
      <c r="C45" s="140" t="s">
        <v>542</v>
      </c>
    </row>
    <row r="46" spans="2:9" ht="22.5" customHeight="1" x14ac:dyDescent="0.3">
      <c r="B46" s="113" t="s">
        <v>2</v>
      </c>
      <c r="C46" s="142">
        <v>0.2</v>
      </c>
    </row>
    <row r="47" spans="2:9" ht="22.5" customHeight="1" x14ac:dyDescent="0.3">
      <c r="B47" s="113" t="s">
        <v>481</v>
      </c>
      <c r="C47" s="140" t="s">
        <v>482</v>
      </c>
    </row>
    <row r="48" spans="2:9" ht="22.5" customHeight="1" x14ac:dyDescent="0.3">
      <c r="B48" s="113" t="s">
        <v>483</v>
      </c>
      <c r="C48" s="143">
        <v>3500</v>
      </c>
    </row>
    <row r="49" spans="2:3" ht="22.5" customHeight="1" x14ac:dyDescent="0.3">
      <c r="B49" s="113" t="s">
        <v>484</v>
      </c>
      <c r="C49" s="144">
        <v>0.1</v>
      </c>
    </row>
    <row r="50" spans="2:3" ht="22.5" customHeight="1" x14ac:dyDescent="0.3">
      <c r="B50" s="113" t="s">
        <v>389</v>
      </c>
      <c r="C50" s="144">
        <v>0.02</v>
      </c>
    </row>
    <row r="51" spans="2:3" ht="22.5" customHeight="1" x14ac:dyDescent="0.3">
      <c r="B51" s="113" t="s">
        <v>485</v>
      </c>
      <c r="C51" s="143">
        <v>2400</v>
      </c>
    </row>
    <row r="52" spans="2:3" ht="22.5" customHeight="1" x14ac:dyDescent="0.3">
      <c r="B52" s="113" t="s">
        <v>486</v>
      </c>
      <c r="C52" s="140" t="s">
        <v>487</v>
      </c>
    </row>
    <row r="53" spans="2:3" ht="22.5" customHeight="1" x14ac:dyDescent="0.3">
      <c r="B53" s="113" t="s">
        <v>488</v>
      </c>
      <c r="C53" s="144">
        <v>0.03</v>
      </c>
    </row>
    <row r="54" spans="2:3" ht="22.5" customHeight="1" x14ac:dyDescent="0.3">
      <c r="B54" s="113" t="s">
        <v>489</v>
      </c>
      <c r="C54" s="140" t="s">
        <v>490</v>
      </c>
    </row>
    <row r="55" spans="2:3" ht="22.5" customHeight="1" x14ac:dyDescent="0.3">
      <c r="B55" s="113" t="s">
        <v>491</v>
      </c>
      <c r="C55" s="140">
        <v>155</v>
      </c>
    </row>
    <row r="56" spans="2:3" ht="22.5" customHeight="1" x14ac:dyDescent="0.3">
      <c r="B56" s="113" t="s">
        <v>535</v>
      </c>
      <c r="C56" s="140">
        <v>255</v>
      </c>
    </row>
    <row r="57" spans="2:3" ht="22.5" customHeight="1" x14ac:dyDescent="0.3">
      <c r="B57" s="113" t="s">
        <v>117</v>
      </c>
      <c r="C57" s="145">
        <v>590</v>
      </c>
    </row>
    <row r="58" spans="2:3" ht="22.5" customHeight="1" x14ac:dyDescent="0.3">
      <c r="B58" s="113" t="s">
        <v>492</v>
      </c>
      <c r="C58" s="140" t="s">
        <v>493</v>
      </c>
    </row>
    <row r="59" spans="2:3" ht="22.5" customHeight="1" x14ac:dyDescent="0.3">
      <c r="B59" s="24" t="s">
        <v>83</v>
      </c>
      <c r="C59" s="141" t="s">
        <v>494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19957-4757-4CB3-99E1-9F726F0D42F6}">
  <sheetPr codeName="Sheet6"/>
  <dimension ref="B1:C20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22.5" customHeight="1" x14ac:dyDescent="0.3"/>
  <cols>
    <col min="1" max="1" width="2.7109375" style="21" customWidth="1"/>
    <col min="2" max="2" width="30.7109375" style="21" customWidth="1"/>
    <col min="3" max="3" width="18.7109375" style="21" customWidth="1"/>
    <col min="4" max="16384" width="9.140625" style="21"/>
  </cols>
  <sheetData>
    <row r="1" spans="2:3" ht="13.5" customHeight="1" x14ac:dyDescent="0.3">
      <c r="B1" s="22" t="s">
        <v>538</v>
      </c>
    </row>
    <row r="3" spans="2:3" ht="22.5" customHeight="1" x14ac:dyDescent="0.3">
      <c r="B3" s="171" t="s">
        <v>506</v>
      </c>
      <c r="C3" s="171"/>
    </row>
    <row r="4" spans="2:3" ht="22.5" customHeight="1" x14ac:dyDescent="0.3">
      <c r="B4" s="112" t="s">
        <v>507</v>
      </c>
      <c r="C4" s="23" t="s">
        <v>536</v>
      </c>
    </row>
    <row r="5" spans="2:3" ht="22.5" customHeight="1" x14ac:dyDescent="0.3">
      <c r="B5" s="113" t="s">
        <v>508</v>
      </c>
      <c r="C5" s="129">
        <v>1621.9931476063437</v>
      </c>
    </row>
    <row r="6" spans="2:3" ht="22.5" customHeight="1" x14ac:dyDescent="0.3">
      <c r="B6" s="113" t="s">
        <v>509</v>
      </c>
      <c r="C6" s="129">
        <v>641.69168392403265</v>
      </c>
    </row>
    <row r="7" spans="2:3" ht="22.5" customHeight="1" x14ac:dyDescent="0.3">
      <c r="B7" s="119" t="s">
        <v>510</v>
      </c>
      <c r="C7" s="132">
        <v>1495.0156002882777</v>
      </c>
    </row>
    <row r="8" spans="2:3" ht="22.5" customHeight="1" x14ac:dyDescent="0.3">
      <c r="B8" s="113" t="s">
        <v>511</v>
      </c>
      <c r="C8" s="129">
        <v>862.63519761145403</v>
      </c>
    </row>
    <row r="9" spans="2:3" ht="22.5" customHeight="1" x14ac:dyDescent="0.3">
      <c r="B9" s="113" t="s">
        <v>512</v>
      </c>
      <c r="C9" s="129">
        <v>966.67091438794466</v>
      </c>
    </row>
    <row r="10" spans="2:3" ht="22.5" customHeight="1" x14ac:dyDescent="0.3">
      <c r="B10" s="113" t="s">
        <v>513</v>
      </c>
      <c r="C10" s="129">
        <v>1173.3590417527071</v>
      </c>
    </row>
    <row r="11" spans="2:3" ht="22.5" customHeight="1" x14ac:dyDescent="0.3">
      <c r="B11" s="113" t="s">
        <v>514</v>
      </c>
      <c r="C11" s="129">
        <v>1914.5700667250339</v>
      </c>
    </row>
    <row r="12" spans="2:3" ht="22.5" customHeight="1" x14ac:dyDescent="0.3">
      <c r="B12" s="113" t="s">
        <v>515</v>
      </c>
      <c r="C12" s="129">
        <v>2418.7941717458357</v>
      </c>
    </row>
    <row r="13" spans="2:3" ht="22.5" customHeight="1" x14ac:dyDescent="0.3">
      <c r="B13" s="113" t="s">
        <v>516</v>
      </c>
      <c r="C13" s="129">
        <v>2817.3681517006271</v>
      </c>
    </row>
    <row r="14" spans="2:3" ht="22.5" customHeight="1" x14ac:dyDescent="0.3">
      <c r="B14" s="113" t="s">
        <v>517</v>
      </c>
      <c r="C14" s="129">
        <v>468.69382257356733</v>
      </c>
    </row>
    <row r="15" spans="2:3" ht="22.5" customHeight="1" x14ac:dyDescent="0.3">
      <c r="B15" s="113" t="s">
        <v>518</v>
      </c>
      <c r="C15" s="129">
        <v>8055.574239600186</v>
      </c>
    </row>
    <row r="17" spans="2:3" ht="22.5" customHeight="1" x14ac:dyDescent="0.3">
      <c r="B17" s="171" t="s">
        <v>519</v>
      </c>
      <c r="C17" s="171"/>
    </row>
    <row r="18" spans="2:3" ht="22.5" customHeight="1" x14ac:dyDescent="0.3">
      <c r="B18" s="113" t="s">
        <v>117</v>
      </c>
      <c r="C18" s="129">
        <v>590</v>
      </c>
    </row>
    <row r="19" spans="2:3" ht="22.5" customHeight="1" x14ac:dyDescent="0.3">
      <c r="B19" s="113" t="s">
        <v>520</v>
      </c>
      <c r="C19" s="151">
        <v>0.998</v>
      </c>
    </row>
    <row r="20" spans="2:3" ht="22.5" customHeight="1" x14ac:dyDescent="0.3">
      <c r="B20" s="122" t="s">
        <v>521</v>
      </c>
      <c r="C20" s="153">
        <v>1.7491409281463453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66583-A135-41C9-86CC-19490F95F067}">
  <sheetPr codeName="Sheet5"/>
  <dimension ref="B1:M19"/>
  <sheetViews>
    <sheetView showGridLines="0" topLeftCell="C1" workbookViewId="0">
      <pane ySplit="1" topLeftCell="A2" activePane="bottomLeft" state="frozen"/>
      <selection pane="bottomLeft" activeCell="A2" sqref="A2"/>
    </sheetView>
  </sheetViews>
  <sheetFormatPr defaultRowHeight="22.5" customHeight="1" x14ac:dyDescent="0.3"/>
  <cols>
    <col min="1" max="1" width="2.7109375" style="21" customWidth="1"/>
    <col min="2" max="2" width="30.7109375" style="21" customWidth="1"/>
    <col min="3" max="13" width="14.7109375" style="21" customWidth="1"/>
    <col min="14" max="16384" width="9.140625" style="21"/>
  </cols>
  <sheetData>
    <row r="1" spans="2:13" ht="13.5" customHeight="1" x14ac:dyDescent="0.3">
      <c r="B1" s="22" t="s">
        <v>495</v>
      </c>
    </row>
    <row r="3" spans="2:13" ht="22.5" customHeight="1" x14ac:dyDescent="0.3">
      <c r="B3" s="171" t="s">
        <v>496</v>
      </c>
      <c r="C3" s="171"/>
      <c r="D3" s="171"/>
      <c r="E3" s="171"/>
      <c r="F3" s="171"/>
      <c r="G3" s="171"/>
      <c r="H3" s="171"/>
      <c r="I3" s="171"/>
      <c r="J3" s="171"/>
      <c r="K3" s="171"/>
      <c r="L3" s="171"/>
      <c r="M3" s="171"/>
    </row>
    <row r="4" spans="2:13" ht="22.5" customHeight="1" x14ac:dyDescent="0.3">
      <c r="B4" s="112" t="s">
        <v>36</v>
      </c>
      <c r="C4" s="23" t="s">
        <v>59</v>
      </c>
      <c r="D4" s="23" t="s">
        <v>497</v>
      </c>
      <c r="E4" s="23" t="s">
        <v>498</v>
      </c>
      <c r="F4" s="23" t="s">
        <v>499</v>
      </c>
      <c r="G4" s="23" t="s">
        <v>500</v>
      </c>
      <c r="H4" s="23" t="s">
        <v>501</v>
      </c>
      <c r="I4" s="23" t="s">
        <v>502</v>
      </c>
      <c r="J4" s="23" t="s">
        <v>378</v>
      </c>
      <c r="K4" s="23" t="s">
        <v>469</v>
      </c>
      <c r="L4" s="23" t="s">
        <v>116</v>
      </c>
      <c r="M4" s="23" t="s">
        <v>503</v>
      </c>
    </row>
    <row r="5" spans="2:13" ht="22.5" customHeight="1" x14ac:dyDescent="0.3">
      <c r="B5" s="113" t="s">
        <v>60</v>
      </c>
      <c r="C5" s="125">
        <v>0.25</v>
      </c>
      <c r="D5" s="146">
        <v>0.1</v>
      </c>
      <c r="E5" s="146">
        <v>0.05</v>
      </c>
      <c r="F5" s="146">
        <v>0</v>
      </c>
      <c r="G5" s="146">
        <v>-0.01</v>
      </c>
      <c r="H5" s="146">
        <v>5.0000000000000001E-3</v>
      </c>
      <c r="I5" s="146">
        <v>-0.02</v>
      </c>
      <c r="J5" s="104">
        <v>0</v>
      </c>
      <c r="K5" s="115">
        <v>346983.30554024043</v>
      </c>
      <c r="L5" s="129">
        <v>2236.4624199296945</v>
      </c>
      <c r="M5" s="151">
        <v>2.790614271067279</v>
      </c>
    </row>
    <row r="6" spans="2:13" ht="22.5" customHeight="1" x14ac:dyDescent="0.3">
      <c r="B6" s="113" t="s">
        <v>61</v>
      </c>
      <c r="C6" s="125">
        <v>0.5</v>
      </c>
      <c r="D6" s="146">
        <v>0</v>
      </c>
      <c r="E6" s="146">
        <v>0</v>
      </c>
      <c r="F6" s="146">
        <v>0</v>
      </c>
      <c r="G6" s="146">
        <v>0</v>
      </c>
      <c r="H6" s="146">
        <v>0</v>
      </c>
      <c r="I6" s="146">
        <v>0</v>
      </c>
      <c r="J6" s="104">
        <v>0</v>
      </c>
      <c r="K6" s="115">
        <v>104394.13370864451</v>
      </c>
      <c r="L6" s="129">
        <v>672.86683011157936</v>
      </c>
      <c r="M6" s="151">
        <v>0.14045225442640569</v>
      </c>
    </row>
    <row r="7" spans="2:13" ht="22.5" customHeight="1" x14ac:dyDescent="0.3">
      <c r="B7" s="113" t="s">
        <v>62</v>
      </c>
      <c r="C7" s="125">
        <v>0.25</v>
      </c>
      <c r="D7" s="146">
        <v>-0.12</v>
      </c>
      <c r="E7" s="146">
        <v>-0.08</v>
      </c>
      <c r="F7" s="146">
        <v>0.05</v>
      </c>
      <c r="G7" s="146">
        <v>0.02</v>
      </c>
      <c r="H7" s="146">
        <v>-0.01</v>
      </c>
      <c r="I7" s="146">
        <v>0.03</v>
      </c>
      <c r="J7" s="104">
        <v>0</v>
      </c>
      <c r="K7" s="115">
        <v>3359.4616905061971</v>
      </c>
      <c r="L7" s="129">
        <v>21.653231443837452</v>
      </c>
      <c r="M7" s="134">
        <v>-0.96329960772230938</v>
      </c>
    </row>
    <row r="8" spans="2:13" ht="22.5" customHeight="1" x14ac:dyDescent="0.3">
      <c r="B8" s="122" t="s">
        <v>504</v>
      </c>
      <c r="C8" s="111"/>
      <c r="D8" s="111"/>
      <c r="E8" s="111"/>
      <c r="F8" s="111"/>
      <c r="G8" s="111"/>
      <c r="H8" s="111"/>
      <c r="I8" s="111"/>
      <c r="J8" s="111"/>
      <c r="K8" s="111"/>
      <c r="L8" s="133">
        <v>900.96232789917258</v>
      </c>
      <c r="M8" s="153">
        <v>0.52705479304944503</v>
      </c>
    </row>
    <row r="10" spans="2:13" ht="22.5" customHeight="1" x14ac:dyDescent="0.3">
      <c r="B10" s="171" t="s">
        <v>505</v>
      </c>
      <c r="C10" s="171"/>
      <c r="D10" s="171"/>
      <c r="E10" s="171"/>
      <c r="F10" s="171"/>
      <c r="G10" s="171"/>
      <c r="H10" s="171"/>
      <c r="I10" s="171"/>
      <c r="J10" s="126"/>
    </row>
    <row r="11" spans="2:13" ht="22.5" customHeight="1" x14ac:dyDescent="0.3">
      <c r="B11" s="112" t="s">
        <v>472</v>
      </c>
      <c r="C11" s="137">
        <v>0.01</v>
      </c>
      <c r="D11" s="137">
        <v>1.4999999999999999E-2</v>
      </c>
      <c r="E11" s="137">
        <v>0.02</v>
      </c>
      <c r="F11" s="137">
        <v>2.5000000000000001E-2</v>
      </c>
      <c r="G11" s="137">
        <v>0.03</v>
      </c>
      <c r="H11" s="137">
        <v>3.5000000000000003E-2</v>
      </c>
      <c r="I11" s="137">
        <v>0.04</v>
      </c>
    </row>
    <row r="12" spans="2:13" ht="22.5" customHeight="1" x14ac:dyDescent="0.3">
      <c r="B12" s="135">
        <v>0.06</v>
      </c>
      <c r="C12" s="152">
        <v>1007.5653000836215</v>
      </c>
      <c r="D12" s="152">
        <v>1066.0813952577314</v>
      </c>
      <c r="E12" s="152">
        <v>1132.8065958730467</v>
      </c>
      <c r="F12" s="152">
        <v>1209.169862814382</v>
      </c>
      <c r="G12" s="152">
        <v>1296.8760320775466</v>
      </c>
      <c r="H12" s="152">
        <v>1397.9619011595973</v>
      </c>
      <c r="I12" s="152">
        <v>1514.8639992751973</v>
      </c>
    </row>
    <row r="13" spans="2:13" ht="22.5" customHeight="1" x14ac:dyDescent="0.3">
      <c r="B13" s="135">
        <v>7.0000000000000007E-2</v>
      </c>
      <c r="C13" s="152">
        <v>845.4747002405735</v>
      </c>
      <c r="D13" s="152">
        <v>887.05661336733203</v>
      </c>
      <c r="E13" s="152">
        <v>934.0855234714935</v>
      </c>
      <c r="F13" s="152">
        <v>987.46925347436036</v>
      </c>
      <c r="G13" s="152">
        <v>1048.285962137425</v>
      </c>
      <c r="H13" s="152">
        <v>1117.8181029872687</v>
      </c>
      <c r="I13" s="152">
        <v>1197.5933591091018</v>
      </c>
    </row>
    <row r="14" spans="2:13" ht="22.5" customHeight="1" x14ac:dyDescent="0.3">
      <c r="B14" s="135">
        <v>0.08</v>
      </c>
      <c r="C14" s="152">
        <v>722.05767531787774</v>
      </c>
      <c r="D14" s="152">
        <v>752.15326501887967</v>
      </c>
      <c r="E14" s="152">
        <v>785.92162230945246</v>
      </c>
      <c r="F14" s="152">
        <v>823.94717502846788</v>
      </c>
      <c r="G14" s="152">
        <v>866.92068963538395</v>
      </c>
      <c r="H14" s="152">
        <v>915.6600283803225</v>
      </c>
      <c r="I14" s="152">
        <v>971.13510662096144</v>
      </c>
    </row>
    <row r="15" spans="2:13" ht="22.5" customHeight="1" x14ac:dyDescent="0.3">
      <c r="B15" s="135">
        <v>0.09</v>
      </c>
      <c r="C15" s="152">
        <v>626.0205545176475</v>
      </c>
      <c r="D15" s="152">
        <v>648.18555219433654</v>
      </c>
      <c r="E15" s="152">
        <v>672.86683011157936</v>
      </c>
      <c r="F15" s="152">
        <v>700.44569772062925</v>
      </c>
      <c r="G15" s="152">
        <v>731.37059832362979</v>
      </c>
      <c r="H15" s="152">
        <v>766.16991915203289</v>
      </c>
      <c r="I15" s="152">
        <v>805.46735186200181</v>
      </c>
    </row>
    <row r="16" spans="2:13" ht="22.5" customHeight="1" x14ac:dyDescent="0.3">
      <c r="B16" s="135">
        <v>0.1</v>
      </c>
      <c r="C16" s="136">
        <v>549.78696000919592</v>
      </c>
      <c r="D16" s="136">
        <v>566.38043643309982</v>
      </c>
      <c r="E16" s="136">
        <v>584.72516125079085</v>
      </c>
      <c r="F16" s="152">
        <v>605.07329755679973</v>
      </c>
      <c r="G16" s="152">
        <v>627.71987549483663</v>
      </c>
      <c r="H16" s="152">
        <v>653.01077507588968</v>
      </c>
      <c r="I16" s="152">
        <v>681.35227095026266</v>
      </c>
    </row>
    <row r="17" spans="2:9" ht="22.5" customHeight="1" x14ac:dyDescent="0.3">
      <c r="B17" s="135">
        <v>0.11</v>
      </c>
      <c r="C17" s="136">
        <v>488.17467925250833</v>
      </c>
      <c r="D17" s="136">
        <v>500.78757970472157</v>
      </c>
      <c r="E17" s="136">
        <v>514.63812408155036</v>
      </c>
      <c r="F17" s="136">
        <v>529.8953375580744</v>
      </c>
      <c r="G17" s="136">
        <v>546.7559333182121</v>
      </c>
      <c r="H17" s="136">
        <v>565.44933633801554</v>
      </c>
      <c r="I17" s="136">
        <v>586.24367203445502</v>
      </c>
    </row>
    <row r="18" spans="2:9" ht="22.5" customHeight="1" x14ac:dyDescent="0.3">
      <c r="B18" s="135">
        <v>0.12</v>
      </c>
      <c r="C18" s="136">
        <v>437.57025224328351</v>
      </c>
      <c r="D18" s="136">
        <v>447.29302038782913</v>
      </c>
      <c r="E18" s="136">
        <v>457.90353050644143</v>
      </c>
      <c r="F18" s="136">
        <v>469.51661415045737</v>
      </c>
      <c r="G18" s="136">
        <v>482.26519485285695</v>
      </c>
      <c r="H18" s="136">
        <v>496.30348129393298</v>
      </c>
      <c r="I18" s="136">
        <v>511.81076169414735</v>
      </c>
    </row>
    <row r="19" spans="2:9" ht="22.5" customHeight="1" x14ac:dyDescent="0.3">
      <c r="B19" s="138">
        <v>0.13</v>
      </c>
      <c r="C19" s="139">
        <v>395.40612512819058</v>
      </c>
      <c r="D19" s="139">
        <v>402.99813315576745</v>
      </c>
      <c r="E19" s="139">
        <v>411.23603462046066</v>
      </c>
      <c r="F19" s="139">
        <v>420.1988881351536</v>
      </c>
      <c r="G19" s="139">
        <v>429.97771227190179</v>
      </c>
      <c r="H19" s="139">
        <v>440.67753562825789</v>
      </c>
      <c r="I19" s="139">
        <v>452.41982482684153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F98DD-52DB-4FDA-9247-E87BC238D94F}">
  <sheetPr codeName="Sheet7"/>
  <dimension ref="B1:D54"/>
  <sheetViews>
    <sheetView showGridLines="0" zoomScale="85" zoomScaleNormal="85" workbookViewId="0">
      <pane ySplit="1" topLeftCell="A2" activePane="bottomLeft" state="frozen"/>
      <selection pane="bottomLeft" activeCell="E13" sqref="E13"/>
    </sheetView>
  </sheetViews>
  <sheetFormatPr defaultRowHeight="22.5" customHeight="1" x14ac:dyDescent="0.3"/>
  <cols>
    <col min="1" max="1" width="2.7109375" style="21" customWidth="1"/>
    <col min="2" max="2" width="14.7109375" style="21" customWidth="1"/>
    <col min="3" max="3" width="10.7109375" style="21" customWidth="1"/>
    <col min="4" max="4" width="14.7109375" style="21" customWidth="1"/>
    <col min="5" max="16384" width="9.140625" style="21"/>
  </cols>
  <sheetData>
    <row r="1" spans="2:4" ht="13.5" customHeight="1" x14ac:dyDescent="0.3">
      <c r="B1" s="22" t="s">
        <v>537</v>
      </c>
    </row>
    <row r="3" spans="2:4" ht="22.5" customHeight="1" x14ac:dyDescent="0.3">
      <c r="B3" s="171" t="s">
        <v>522</v>
      </c>
      <c r="C3" s="171"/>
      <c r="D3" s="171"/>
    </row>
    <row r="4" spans="2:4" ht="22.5" customHeight="1" x14ac:dyDescent="0.3">
      <c r="B4" s="23" t="s">
        <v>523</v>
      </c>
      <c r="C4" s="23" t="s">
        <v>524</v>
      </c>
      <c r="D4" s="23" t="s">
        <v>525</v>
      </c>
    </row>
    <row r="5" spans="2:4" ht="22.5" customHeight="1" x14ac:dyDescent="0.3">
      <c r="B5" s="147">
        <v>728.94228124943925</v>
      </c>
      <c r="C5" s="130">
        <v>199</v>
      </c>
      <c r="D5" s="148">
        <v>1.9900000000000001E-2</v>
      </c>
    </row>
    <row r="6" spans="2:4" ht="22.5" customHeight="1" x14ac:dyDescent="0.3">
      <c r="B6" s="147">
        <v>790.62580471383353</v>
      </c>
      <c r="C6" s="130">
        <v>167</v>
      </c>
      <c r="D6" s="148">
        <v>1.67E-2</v>
      </c>
    </row>
    <row r="7" spans="2:4" ht="22.5" customHeight="1" x14ac:dyDescent="0.3">
      <c r="B7" s="147">
        <v>852.30932817822759</v>
      </c>
      <c r="C7" s="130">
        <v>216</v>
      </c>
      <c r="D7" s="148">
        <v>2.1600000000000001E-2</v>
      </c>
    </row>
    <row r="8" spans="2:4" ht="22.5" customHeight="1" x14ac:dyDescent="0.3">
      <c r="B8" s="147">
        <v>913.99285164262187</v>
      </c>
      <c r="C8" s="130">
        <v>306</v>
      </c>
      <c r="D8" s="148">
        <v>3.0599999999999999E-2</v>
      </c>
    </row>
    <row r="9" spans="2:4" ht="22.5" customHeight="1" x14ac:dyDescent="0.3">
      <c r="B9" s="147">
        <v>975.67637510701593</v>
      </c>
      <c r="C9" s="130">
        <v>356</v>
      </c>
      <c r="D9" s="148">
        <v>3.56E-2</v>
      </c>
    </row>
    <row r="10" spans="2:4" ht="22.5" customHeight="1" x14ac:dyDescent="0.3">
      <c r="B10" s="147">
        <v>1037.3598985714102</v>
      </c>
      <c r="C10" s="130">
        <v>438</v>
      </c>
      <c r="D10" s="148">
        <v>4.3799999999999999E-2</v>
      </c>
    </row>
    <row r="11" spans="2:4" ht="22.5" customHeight="1" x14ac:dyDescent="0.3">
      <c r="B11" s="147">
        <v>1099.0434220358043</v>
      </c>
      <c r="C11" s="130">
        <v>476</v>
      </c>
      <c r="D11" s="148">
        <v>4.7600000000000003E-2</v>
      </c>
    </row>
    <row r="12" spans="2:4" ht="22.5" customHeight="1" x14ac:dyDescent="0.3">
      <c r="B12" s="147">
        <v>1160.7269455001983</v>
      </c>
      <c r="C12" s="130">
        <v>463</v>
      </c>
      <c r="D12" s="148">
        <v>4.6300000000000001E-2</v>
      </c>
    </row>
    <row r="13" spans="2:4" ht="22.5" customHeight="1" x14ac:dyDescent="0.3">
      <c r="B13" s="147">
        <v>1222.4104689645926</v>
      </c>
      <c r="C13" s="130">
        <v>483</v>
      </c>
      <c r="D13" s="148">
        <v>4.8300000000000003E-2</v>
      </c>
    </row>
    <row r="14" spans="2:4" ht="22.5" customHeight="1" x14ac:dyDescent="0.3">
      <c r="B14" s="147">
        <v>1284.0939924289867</v>
      </c>
      <c r="C14" s="130">
        <v>478</v>
      </c>
      <c r="D14" s="148">
        <v>4.7800000000000002E-2</v>
      </c>
    </row>
    <row r="15" spans="2:4" ht="22.5" customHeight="1" x14ac:dyDescent="0.3">
      <c r="B15" s="147">
        <v>1345.777515893381</v>
      </c>
      <c r="C15" s="130">
        <v>473</v>
      </c>
      <c r="D15" s="148">
        <v>4.7300000000000002E-2</v>
      </c>
    </row>
    <row r="16" spans="2:4" ht="22.5" customHeight="1" x14ac:dyDescent="0.3">
      <c r="B16" s="147">
        <v>1407.461039357775</v>
      </c>
      <c r="C16" s="130">
        <v>529</v>
      </c>
      <c r="D16" s="148">
        <v>5.2900000000000003E-2</v>
      </c>
    </row>
    <row r="17" spans="2:4" ht="22.5" customHeight="1" x14ac:dyDescent="0.3">
      <c r="B17" s="147">
        <v>1469.1445628221693</v>
      </c>
      <c r="C17" s="130">
        <v>451</v>
      </c>
      <c r="D17" s="148">
        <v>4.5100000000000001E-2</v>
      </c>
    </row>
    <row r="18" spans="2:4" ht="22.5" customHeight="1" x14ac:dyDescent="0.3">
      <c r="B18" s="147">
        <v>1530.8280862865633</v>
      </c>
      <c r="C18" s="130">
        <v>456</v>
      </c>
      <c r="D18" s="148">
        <v>4.5600000000000002E-2</v>
      </c>
    </row>
    <row r="19" spans="2:4" ht="22.5" customHeight="1" x14ac:dyDescent="0.3">
      <c r="B19" s="147">
        <v>1592.5116097509576</v>
      </c>
      <c r="C19" s="130">
        <v>430</v>
      </c>
      <c r="D19" s="148">
        <v>4.2999999999999997E-2</v>
      </c>
    </row>
    <row r="20" spans="2:4" ht="22.5" customHeight="1" x14ac:dyDescent="0.3">
      <c r="B20" s="147">
        <v>1654.1951332153517</v>
      </c>
      <c r="C20" s="130">
        <v>397</v>
      </c>
      <c r="D20" s="148">
        <v>3.9699999999999999E-2</v>
      </c>
    </row>
    <row r="21" spans="2:4" ht="22.5" customHeight="1" x14ac:dyDescent="0.3">
      <c r="B21" s="147">
        <v>1715.8786566797457</v>
      </c>
      <c r="C21" s="130">
        <v>333</v>
      </c>
      <c r="D21" s="148">
        <v>3.3300000000000003E-2</v>
      </c>
    </row>
    <row r="22" spans="2:4" ht="22.5" customHeight="1" x14ac:dyDescent="0.3">
      <c r="B22" s="147">
        <v>1777.56218014414</v>
      </c>
      <c r="C22" s="130">
        <v>327</v>
      </c>
      <c r="D22" s="148">
        <v>3.27E-2</v>
      </c>
    </row>
    <row r="23" spans="2:4" ht="22.5" customHeight="1" x14ac:dyDescent="0.3">
      <c r="B23" s="147">
        <v>1839.2457036085341</v>
      </c>
      <c r="C23" s="130">
        <v>288</v>
      </c>
      <c r="D23" s="148">
        <v>2.8799999999999999E-2</v>
      </c>
    </row>
    <row r="24" spans="2:4" ht="22.5" customHeight="1" x14ac:dyDescent="0.3">
      <c r="B24" s="147">
        <v>1900.9292270729284</v>
      </c>
      <c r="C24" s="130">
        <v>315</v>
      </c>
      <c r="D24" s="148">
        <v>3.15E-2</v>
      </c>
    </row>
    <row r="25" spans="2:4" ht="22.5" customHeight="1" x14ac:dyDescent="0.3">
      <c r="B25" s="147">
        <v>1962.6127505373224</v>
      </c>
      <c r="C25" s="130">
        <v>230</v>
      </c>
      <c r="D25" s="148">
        <v>2.3E-2</v>
      </c>
    </row>
    <row r="26" spans="2:4" ht="22.5" customHeight="1" x14ac:dyDescent="0.3">
      <c r="B26" s="147">
        <v>2024.2962740017169</v>
      </c>
      <c r="C26" s="130">
        <v>227</v>
      </c>
      <c r="D26" s="148">
        <v>2.2700000000000001E-2</v>
      </c>
    </row>
    <row r="27" spans="2:4" ht="22.5" customHeight="1" x14ac:dyDescent="0.3">
      <c r="B27" s="147">
        <v>2085.979797466111</v>
      </c>
      <c r="C27" s="130">
        <v>206</v>
      </c>
      <c r="D27" s="148">
        <v>2.06E-2</v>
      </c>
    </row>
    <row r="28" spans="2:4" ht="22.5" customHeight="1" x14ac:dyDescent="0.3">
      <c r="B28" s="147">
        <v>2147.6633209305051</v>
      </c>
      <c r="C28" s="130">
        <v>186</v>
      </c>
      <c r="D28" s="148">
        <v>1.8599999999999998E-2</v>
      </c>
    </row>
    <row r="29" spans="2:4" ht="22.5" customHeight="1" x14ac:dyDescent="0.3">
      <c r="B29" s="147">
        <v>2209.3468443948991</v>
      </c>
      <c r="C29" s="130">
        <v>174</v>
      </c>
      <c r="D29" s="148">
        <v>1.7399999999999999E-2</v>
      </c>
    </row>
    <row r="30" spans="2:4" ht="22.5" customHeight="1" x14ac:dyDescent="0.3">
      <c r="B30" s="147">
        <v>2271.0303678592932</v>
      </c>
      <c r="C30" s="130">
        <v>141</v>
      </c>
      <c r="D30" s="148">
        <v>1.41E-2</v>
      </c>
    </row>
    <row r="31" spans="2:4" ht="22.5" customHeight="1" x14ac:dyDescent="0.3">
      <c r="B31" s="147">
        <v>2332.7138913236877</v>
      </c>
      <c r="C31" s="130">
        <v>143</v>
      </c>
      <c r="D31" s="148">
        <v>1.43E-2</v>
      </c>
    </row>
    <row r="32" spans="2:4" ht="22.5" customHeight="1" x14ac:dyDescent="0.3">
      <c r="B32" s="147">
        <v>2394.3974147880817</v>
      </c>
      <c r="C32" s="130">
        <v>122</v>
      </c>
      <c r="D32" s="148">
        <v>1.2200000000000001E-2</v>
      </c>
    </row>
    <row r="33" spans="2:4" ht="22.5" customHeight="1" x14ac:dyDescent="0.3">
      <c r="B33" s="147">
        <v>2456.0809382524758</v>
      </c>
      <c r="C33" s="130">
        <v>109</v>
      </c>
      <c r="D33" s="148">
        <v>1.09E-2</v>
      </c>
    </row>
    <row r="34" spans="2:4" ht="22.5" customHeight="1" x14ac:dyDescent="0.3">
      <c r="B34" s="147">
        <v>2517.7644617168698</v>
      </c>
      <c r="C34" s="130">
        <v>90</v>
      </c>
      <c r="D34" s="148">
        <v>8.9999999999999993E-3</v>
      </c>
    </row>
    <row r="35" spans="2:4" ht="22.5" customHeight="1" x14ac:dyDescent="0.3">
      <c r="B35" s="147">
        <v>2579.4479851812644</v>
      </c>
      <c r="C35" s="130">
        <v>94</v>
      </c>
      <c r="D35" s="148">
        <v>9.4000000000000004E-3</v>
      </c>
    </row>
    <row r="36" spans="2:4" ht="22.5" customHeight="1" x14ac:dyDescent="0.3">
      <c r="B36" s="147">
        <v>2641.1315086456584</v>
      </c>
      <c r="C36" s="130">
        <v>77</v>
      </c>
      <c r="D36" s="148">
        <v>7.7000000000000002E-3</v>
      </c>
    </row>
    <row r="37" spans="2:4" ht="22.5" customHeight="1" x14ac:dyDescent="0.3">
      <c r="B37" s="147">
        <v>2702.8150321100525</v>
      </c>
      <c r="C37" s="130">
        <v>49</v>
      </c>
      <c r="D37" s="148">
        <v>4.8999999999999998E-3</v>
      </c>
    </row>
    <row r="38" spans="2:4" ht="22.5" customHeight="1" x14ac:dyDescent="0.3">
      <c r="B38" s="147">
        <v>2764.4985555744465</v>
      </c>
      <c r="C38" s="130">
        <v>51</v>
      </c>
      <c r="D38" s="148">
        <v>5.1000000000000004E-3</v>
      </c>
    </row>
    <row r="39" spans="2:4" ht="22.5" customHeight="1" x14ac:dyDescent="0.3">
      <c r="B39" s="147">
        <v>2826.1820790388406</v>
      </c>
      <c r="C39" s="130">
        <v>50</v>
      </c>
      <c r="D39" s="148">
        <v>5.0000000000000001E-3</v>
      </c>
    </row>
    <row r="40" spans="2:4" ht="22.5" customHeight="1" x14ac:dyDescent="0.3">
      <c r="B40" s="147">
        <v>2887.8656025032351</v>
      </c>
      <c r="C40" s="130">
        <v>47</v>
      </c>
      <c r="D40" s="148">
        <v>4.7000000000000002E-3</v>
      </c>
    </row>
    <row r="41" spans="2:4" ht="22.5" customHeight="1" x14ac:dyDescent="0.3">
      <c r="B41" s="147">
        <v>2949.5491259676292</v>
      </c>
      <c r="C41" s="130">
        <v>41</v>
      </c>
      <c r="D41" s="148">
        <v>4.1000000000000003E-3</v>
      </c>
    </row>
    <row r="42" spans="2:4" ht="22.5" customHeight="1" x14ac:dyDescent="0.3">
      <c r="B42" s="147">
        <v>3011.2326494320232</v>
      </c>
      <c r="C42" s="130">
        <v>36</v>
      </c>
      <c r="D42" s="148">
        <v>3.5999999999999999E-3</v>
      </c>
    </row>
    <row r="43" spans="2:4" ht="22.5" customHeight="1" x14ac:dyDescent="0.3">
      <c r="B43" s="147">
        <v>3072.9161728964173</v>
      </c>
      <c r="C43" s="130">
        <v>33</v>
      </c>
      <c r="D43" s="148">
        <v>3.3E-3</v>
      </c>
    </row>
    <row r="44" spans="2:4" ht="22.5" customHeight="1" x14ac:dyDescent="0.3">
      <c r="B44" s="147">
        <v>3134.5996963608118</v>
      </c>
      <c r="C44" s="130">
        <v>31</v>
      </c>
      <c r="D44" s="148">
        <v>3.0999999999999999E-3</v>
      </c>
    </row>
    <row r="45" spans="2:4" ht="22.5" customHeight="1" x14ac:dyDescent="0.3">
      <c r="B45" s="147">
        <v>3196.2832198252058</v>
      </c>
      <c r="C45" s="130">
        <v>28</v>
      </c>
      <c r="D45" s="148">
        <v>2.8E-3</v>
      </c>
    </row>
    <row r="46" spans="2:4" ht="22.5" customHeight="1" x14ac:dyDescent="0.3">
      <c r="B46" s="147">
        <v>3257.9667432895999</v>
      </c>
      <c r="C46" s="130">
        <v>25</v>
      </c>
      <c r="D46" s="148">
        <v>2.5000000000000001E-3</v>
      </c>
    </row>
    <row r="47" spans="2:4" ht="22.5" customHeight="1" x14ac:dyDescent="0.3">
      <c r="B47" s="147">
        <v>3319.6502667539939</v>
      </c>
      <c r="C47" s="130">
        <v>21</v>
      </c>
      <c r="D47" s="148">
        <v>2.0999999999999999E-3</v>
      </c>
    </row>
    <row r="48" spans="2:4" ht="22.5" customHeight="1" x14ac:dyDescent="0.3">
      <c r="B48" s="147">
        <v>3381.3337902183885</v>
      </c>
      <c r="C48" s="130">
        <v>19</v>
      </c>
      <c r="D48" s="148">
        <v>1.9E-3</v>
      </c>
    </row>
    <row r="49" spans="2:4" ht="22.5" customHeight="1" x14ac:dyDescent="0.3">
      <c r="B49" s="147">
        <v>3443.0173136827825</v>
      </c>
      <c r="C49" s="130">
        <v>21</v>
      </c>
      <c r="D49" s="148">
        <v>2.0999999999999999E-3</v>
      </c>
    </row>
    <row r="50" spans="2:4" ht="22.5" customHeight="1" x14ac:dyDescent="0.3">
      <c r="B50" s="147">
        <v>3504.7008371471766</v>
      </c>
      <c r="C50" s="130">
        <v>22</v>
      </c>
      <c r="D50" s="148">
        <v>2.2000000000000001E-3</v>
      </c>
    </row>
    <row r="51" spans="2:4" ht="22.5" customHeight="1" x14ac:dyDescent="0.3">
      <c r="B51" s="147">
        <v>3566.3843606115706</v>
      </c>
      <c r="C51" s="130">
        <v>12</v>
      </c>
      <c r="D51" s="148">
        <v>1.1999999999999999E-3</v>
      </c>
    </row>
    <row r="52" spans="2:4" ht="22.5" customHeight="1" x14ac:dyDescent="0.3">
      <c r="B52" s="147">
        <v>3628.0678840759651</v>
      </c>
      <c r="C52" s="130">
        <v>9</v>
      </c>
      <c r="D52" s="148">
        <v>8.9999999999999998E-4</v>
      </c>
    </row>
    <row r="53" spans="2:4" ht="22.5" customHeight="1" x14ac:dyDescent="0.3">
      <c r="B53" s="147">
        <v>3689.7514075403592</v>
      </c>
      <c r="C53" s="130">
        <v>12</v>
      </c>
      <c r="D53" s="148">
        <v>1.1999999999999999E-3</v>
      </c>
    </row>
    <row r="54" spans="2:4" ht="22.5" customHeight="1" x14ac:dyDescent="0.3">
      <c r="B54" s="149">
        <v>3751.4349310047533</v>
      </c>
      <c r="C54" s="111">
        <v>113</v>
      </c>
      <c r="D54" s="150">
        <v>1.1299999999999999E-2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AC4C76-DAD4-45A1-A201-65672FB7F951}">
  <sheetPr codeName="Sheet4"/>
  <dimension ref="A1:X30"/>
  <sheetViews>
    <sheetView showGridLines="0" workbookViewId="0">
      <pane ySplit="1" topLeftCell="A2" activePane="bottomLeft" state="frozen"/>
      <selection pane="bottomLeft" activeCell="E7" sqref="E7"/>
    </sheetView>
  </sheetViews>
  <sheetFormatPr defaultRowHeight="16.5" x14ac:dyDescent="0.3"/>
  <cols>
    <col min="1" max="1" width="2.28515625" style="1" customWidth="1"/>
    <col min="2" max="2" width="20.7109375" style="1" customWidth="1"/>
    <col min="3" max="3" width="5.7109375" style="1" customWidth="1"/>
    <col min="4" max="4" width="20.85546875" style="1" customWidth="1"/>
    <col min="5" max="5" width="20.7109375" style="1" customWidth="1"/>
    <col min="6" max="6" width="5.7109375" style="1" customWidth="1"/>
    <col min="7" max="7" width="20.5703125" style="1" customWidth="1"/>
    <col min="8" max="8" width="5.7109375" style="1" customWidth="1"/>
    <col min="9" max="9" width="45.7109375" style="1" customWidth="1"/>
    <col min="10" max="10" width="5.7109375" style="1" customWidth="1"/>
    <col min="11" max="11" width="64.85546875" style="1" customWidth="1"/>
    <col min="12" max="12" width="9.140625" style="1"/>
    <col min="13" max="13" width="18.42578125" style="1" customWidth="1"/>
    <col min="14" max="16384" width="9.140625" style="1"/>
  </cols>
  <sheetData>
    <row r="1" spans="1:16" ht="18.75" x14ac:dyDescent="0.3">
      <c r="A1" s="21"/>
      <c r="B1" s="22" t="s">
        <v>358</v>
      </c>
      <c r="C1" s="21"/>
      <c r="D1" s="21"/>
      <c r="E1" s="21"/>
      <c r="F1" s="21"/>
      <c r="G1" s="21"/>
      <c r="H1" s="21"/>
      <c r="I1" s="21"/>
      <c r="J1" s="21"/>
      <c r="K1" s="21"/>
      <c r="L1" s="21"/>
    </row>
    <row r="2" spans="1:16" x14ac:dyDescent="0.3">
      <c r="A2" s="21"/>
      <c r="B2" s="199" t="s">
        <v>118</v>
      </c>
      <c r="C2" s="199"/>
      <c r="D2" s="199"/>
      <c r="E2" s="21"/>
      <c r="F2" s="21"/>
      <c r="G2" s="21"/>
      <c r="H2" s="21"/>
      <c r="I2" s="21"/>
      <c r="J2" s="21"/>
      <c r="K2" s="21"/>
      <c r="L2" s="21"/>
    </row>
    <row r="3" spans="1:16" x14ac:dyDescent="0.3">
      <c r="A3" s="21"/>
      <c r="B3" s="200"/>
      <c r="C3" s="200"/>
      <c r="D3" s="200"/>
      <c r="E3" s="21"/>
      <c r="F3" s="21"/>
      <c r="G3" s="21"/>
      <c r="H3" s="21"/>
      <c r="I3" s="197" t="s">
        <v>127</v>
      </c>
      <c r="J3" s="197"/>
      <c r="K3" s="197"/>
      <c r="L3" s="197"/>
    </row>
    <row r="4" spans="1:16" x14ac:dyDescent="0.3">
      <c r="A4" s="21"/>
      <c r="B4" s="24" t="s">
        <v>44</v>
      </c>
      <c r="C4" s="201"/>
      <c r="D4" s="201"/>
      <c r="E4" s="21"/>
      <c r="F4" s="21"/>
      <c r="G4" s="21"/>
      <c r="H4" s="21"/>
      <c r="I4" s="198"/>
      <c r="J4" s="198"/>
      <c r="K4" s="198"/>
      <c r="L4" s="198"/>
    </row>
    <row r="5" spans="1:16" x14ac:dyDescent="0.3">
      <c r="A5" s="21"/>
      <c r="B5" s="24" t="s">
        <v>45</v>
      </c>
      <c r="C5" s="201"/>
      <c r="D5" s="201"/>
      <c r="E5" s="21"/>
      <c r="F5" s="21"/>
      <c r="G5" s="21"/>
      <c r="H5" s="21"/>
      <c r="I5" s="208"/>
      <c r="J5" s="208"/>
      <c r="K5" s="24"/>
      <c r="L5" s="24"/>
    </row>
    <row r="6" spans="1:16" x14ac:dyDescent="0.3">
      <c r="A6" s="21"/>
      <c r="B6" s="24" t="s">
        <v>46</v>
      </c>
      <c r="C6" s="201"/>
      <c r="D6" s="201"/>
      <c r="E6" s="21"/>
      <c r="F6" s="21"/>
      <c r="G6" s="21"/>
      <c r="H6" s="21"/>
      <c r="I6" s="209"/>
      <c r="J6" s="209"/>
      <c r="K6" s="24"/>
      <c r="L6" s="24"/>
    </row>
    <row r="7" spans="1:16" x14ac:dyDescent="0.3">
      <c r="A7" s="21"/>
      <c r="B7" s="25" t="s">
        <v>47</v>
      </c>
      <c r="C7" s="201"/>
      <c r="D7" s="201"/>
      <c r="E7" s="21"/>
      <c r="F7" s="21"/>
      <c r="G7" s="21"/>
      <c r="H7" s="21"/>
      <c r="I7" s="209"/>
      <c r="J7" s="209"/>
      <c r="K7" s="24"/>
      <c r="L7" s="24"/>
    </row>
    <row r="8" spans="1:16" x14ac:dyDescent="0.3">
      <c r="A8" s="21"/>
      <c r="B8" s="21"/>
      <c r="C8" s="21"/>
      <c r="D8" s="21"/>
      <c r="E8" s="21"/>
      <c r="F8" s="21"/>
      <c r="G8" s="21"/>
      <c r="H8" s="21"/>
      <c r="I8" s="209"/>
      <c r="J8" s="209"/>
      <c r="K8" s="24"/>
      <c r="L8" s="24"/>
    </row>
    <row r="9" spans="1:16" x14ac:dyDescent="0.3">
      <c r="A9" s="21"/>
      <c r="B9" s="21"/>
      <c r="C9" s="21"/>
      <c r="D9" s="21"/>
      <c r="E9" s="21"/>
      <c r="F9" s="21"/>
      <c r="G9" s="21"/>
      <c r="H9" s="21"/>
      <c r="I9" s="209"/>
      <c r="J9" s="209"/>
      <c r="K9" s="24"/>
      <c r="L9" s="24"/>
    </row>
    <row r="10" spans="1:16" x14ac:dyDescent="0.3">
      <c r="A10" s="21"/>
      <c r="B10" s="197" t="s">
        <v>119</v>
      </c>
      <c r="C10" s="197"/>
      <c r="D10" s="197"/>
      <c r="E10" s="197" t="s">
        <v>120</v>
      </c>
      <c r="F10" s="197"/>
      <c r="G10" s="197"/>
      <c r="H10" s="21"/>
      <c r="I10" s="210"/>
      <c r="J10" s="210"/>
      <c r="K10" s="24"/>
      <c r="L10" s="24"/>
    </row>
    <row r="11" spans="1:16" x14ac:dyDescent="0.3">
      <c r="A11" s="21"/>
      <c r="B11" s="205"/>
      <c r="C11" s="205"/>
      <c r="D11" s="205"/>
      <c r="E11" s="205"/>
      <c r="F11" s="205"/>
      <c r="G11" s="205"/>
      <c r="H11" s="21"/>
      <c r="I11" s="21"/>
      <c r="J11" s="21"/>
      <c r="K11" s="21"/>
      <c r="L11" s="21"/>
    </row>
    <row r="12" spans="1:16" x14ac:dyDescent="0.3">
      <c r="A12" s="21"/>
      <c r="B12" s="206"/>
      <c r="C12" s="206"/>
      <c r="D12" s="206"/>
      <c r="E12" s="206"/>
      <c r="F12" s="206"/>
      <c r="G12" s="206"/>
      <c r="H12" s="21"/>
      <c r="I12" s="197" t="s">
        <v>128</v>
      </c>
      <c r="J12" s="197"/>
      <c r="K12" s="197"/>
      <c r="L12" s="197"/>
    </row>
    <row r="13" spans="1:16" x14ac:dyDescent="0.3">
      <c r="A13" s="21"/>
      <c r="B13" s="206"/>
      <c r="C13" s="206"/>
      <c r="D13" s="206"/>
      <c r="E13" s="206"/>
      <c r="F13" s="206"/>
      <c r="G13" s="206"/>
      <c r="H13" s="21"/>
      <c r="I13" s="198"/>
      <c r="J13" s="198"/>
      <c r="K13" s="198"/>
      <c r="L13" s="198"/>
    </row>
    <row r="14" spans="1:16" x14ac:dyDescent="0.3">
      <c r="A14" s="21"/>
      <c r="B14" s="207"/>
      <c r="C14" s="207"/>
      <c r="D14" s="207"/>
      <c r="E14" s="207"/>
      <c r="F14" s="207"/>
      <c r="G14" s="207"/>
      <c r="H14" s="21"/>
      <c r="I14" s="208"/>
      <c r="J14" s="208"/>
      <c r="K14" s="24"/>
      <c r="L14" s="24"/>
    </row>
    <row r="15" spans="1:16" x14ac:dyDescent="0.3">
      <c r="A15" s="21"/>
      <c r="B15" s="199" t="s">
        <v>121</v>
      </c>
      <c r="C15" s="199"/>
      <c r="D15" s="199"/>
      <c r="E15" s="199" t="s">
        <v>122</v>
      </c>
      <c r="F15" s="199"/>
      <c r="G15" s="199"/>
      <c r="H15" s="21"/>
      <c r="I15" s="209"/>
      <c r="J15" s="209"/>
      <c r="K15" s="24"/>
      <c r="L15" s="24"/>
    </row>
    <row r="16" spans="1:16" x14ac:dyDescent="0.3">
      <c r="A16" s="21"/>
      <c r="B16" s="205"/>
      <c r="C16" s="205"/>
      <c r="D16" s="205"/>
      <c r="E16" s="205"/>
      <c r="F16" s="205"/>
      <c r="G16" s="205"/>
      <c r="H16" s="21"/>
      <c r="I16" s="209"/>
      <c r="J16" s="209"/>
      <c r="K16" s="24"/>
      <c r="L16" s="24"/>
      <c r="M16"/>
      <c r="N16"/>
      <c r="O16"/>
      <c r="P16"/>
    </row>
    <row r="17" spans="1:24" x14ac:dyDescent="0.3">
      <c r="A17" s="21"/>
      <c r="B17" s="206"/>
      <c r="C17" s="206"/>
      <c r="D17" s="206"/>
      <c r="E17" s="206"/>
      <c r="F17" s="206"/>
      <c r="G17" s="206"/>
      <c r="H17" s="21"/>
      <c r="I17" s="209"/>
      <c r="J17" s="209"/>
      <c r="K17" s="202" t="s">
        <v>30</v>
      </c>
      <c r="L17" s="202"/>
      <c r="M17"/>
      <c r="N17"/>
      <c r="O17"/>
      <c r="P17"/>
    </row>
    <row r="18" spans="1:24" ht="27.75" customHeight="1" x14ac:dyDescent="0.3">
      <c r="A18" s="21"/>
      <c r="B18" s="206"/>
      <c r="C18" s="206"/>
      <c r="D18" s="206"/>
      <c r="E18" s="206"/>
      <c r="F18" s="206"/>
      <c r="G18" s="206"/>
      <c r="H18" s="21"/>
      <c r="I18" s="209"/>
      <c r="J18" s="209"/>
      <c r="K18" s="202"/>
      <c r="L18" s="202"/>
      <c r="M18"/>
      <c r="N18"/>
      <c r="O18"/>
      <c r="P18"/>
    </row>
    <row r="19" spans="1:24" x14ac:dyDescent="0.3">
      <c r="A19" s="21"/>
      <c r="B19" s="206"/>
      <c r="C19" s="206"/>
      <c r="D19" s="206"/>
      <c r="E19" s="206"/>
      <c r="F19" s="206"/>
      <c r="G19" s="206"/>
      <c r="H19" s="21"/>
      <c r="I19" s="210"/>
      <c r="J19" s="210"/>
      <c r="K19" s="24"/>
      <c r="L19" s="24"/>
      <c r="M19"/>
      <c r="N19"/>
      <c r="O19"/>
      <c r="P19"/>
      <c r="R19" s="204"/>
      <c r="S19" s="204"/>
      <c r="T19" s="204"/>
      <c r="V19" s="204"/>
      <c r="W19" s="204"/>
      <c r="X19" s="204"/>
    </row>
    <row r="20" spans="1:24" ht="28.5" customHeight="1" x14ac:dyDescent="0.3">
      <c r="A20" s="21"/>
      <c r="B20" s="21"/>
      <c r="C20" s="21"/>
      <c r="D20" s="21"/>
      <c r="E20" s="21"/>
      <c r="F20" s="21"/>
      <c r="G20" s="21"/>
      <c r="H20" s="21"/>
      <c r="I20" s="21"/>
      <c r="J20" s="21"/>
      <c r="K20" s="203" t="s">
        <v>28</v>
      </c>
      <c r="L20" s="203"/>
      <c r="M20"/>
      <c r="N20"/>
      <c r="O20"/>
      <c r="P20"/>
      <c r="R20" s="204"/>
      <c r="S20" s="204"/>
      <c r="T20" s="204"/>
      <c r="V20" s="204"/>
      <c r="W20" s="204"/>
      <c r="X20" s="204"/>
    </row>
    <row r="21" spans="1:24" x14ac:dyDescent="0.3">
      <c r="A21" s="21"/>
      <c r="B21" s="197" t="s">
        <v>123</v>
      </c>
      <c r="C21" s="197"/>
      <c r="D21" s="197"/>
      <c r="E21" s="197" t="s">
        <v>124</v>
      </c>
      <c r="F21" s="197"/>
      <c r="G21" s="197"/>
      <c r="H21" s="21"/>
      <c r="I21" s="21"/>
      <c r="J21" s="21"/>
      <c r="K21" s="203"/>
      <c r="L21" s="203"/>
      <c r="M21"/>
      <c r="N21"/>
      <c r="O21"/>
      <c r="P21"/>
    </row>
    <row r="22" spans="1:24" x14ac:dyDescent="0.3">
      <c r="A22" s="21"/>
      <c r="B22" s="205"/>
      <c r="C22" s="205"/>
      <c r="D22" s="205"/>
      <c r="E22" s="205"/>
      <c r="F22" s="205"/>
      <c r="G22" s="205"/>
      <c r="H22" s="21"/>
      <c r="I22" s="21"/>
      <c r="J22" s="21"/>
      <c r="K22" s="21"/>
      <c r="L22" s="21"/>
      <c r="M22"/>
      <c r="N22"/>
      <c r="O22"/>
      <c r="P22"/>
    </row>
    <row r="23" spans="1:24" x14ac:dyDescent="0.3">
      <c r="A23" s="21"/>
      <c r="B23" s="206"/>
      <c r="C23" s="206"/>
      <c r="D23" s="206"/>
      <c r="E23" s="206"/>
      <c r="F23" s="206"/>
      <c r="G23" s="206"/>
      <c r="H23" s="21"/>
      <c r="I23" s="21"/>
      <c r="J23" s="21"/>
      <c r="K23" s="21"/>
      <c r="L23" s="21"/>
      <c r="M23"/>
      <c r="N23"/>
      <c r="O23"/>
      <c r="P23"/>
    </row>
    <row r="24" spans="1:24" x14ac:dyDescent="0.3">
      <c r="A24" s="21"/>
      <c r="B24" s="206"/>
      <c r="C24" s="206"/>
      <c r="D24" s="206"/>
      <c r="E24" s="206"/>
      <c r="F24" s="206"/>
      <c r="G24" s="206"/>
      <c r="H24" s="21"/>
      <c r="I24" s="21"/>
      <c r="J24" s="21"/>
      <c r="K24" s="21"/>
      <c r="L24" s="21"/>
    </row>
    <row r="25" spans="1:24" x14ac:dyDescent="0.3">
      <c r="A25" s="21"/>
      <c r="B25" s="207"/>
      <c r="C25" s="207"/>
      <c r="D25" s="207"/>
      <c r="E25" s="207"/>
      <c r="F25" s="207"/>
      <c r="G25" s="207"/>
      <c r="H25" s="21"/>
      <c r="I25" s="21"/>
      <c r="J25" s="21"/>
      <c r="K25" s="21"/>
      <c r="L25" s="21"/>
    </row>
    <row r="26" spans="1:24" x14ac:dyDescent="0.3">
      <c r="A26" s="21"/>
      <c r="B26" s="199" t="s">
        <v>125</v>
      </c>
      <c r="C26" s="199"/>
      <c r="D26" s="199"/>
      <c r="E26" s="199" t="s">
        <v>126</v>
      </c>
      <c r="F26" s="199"/>
      <c r="G26" s="199"/>
      <c r="H26" s="21"/>
      <c r="I26" s="21"/>
      <c r="J26" s="21"/>
      <c r="K26" s="21"/>
      <c r="L26" s="21"/>
    </row>
    <row r="27" spans="1:24" x14ac:dyDescent="0.3">
      <c r="A27" s="21"/>
      <c r="B27" s="205"/>
      <c r="C27" s="205"/>
      <c r="D27" s="205"/>
      <c r="E27" s="205"/>
      <c r="F27" s="205"/>
      <c r="G27" s="205"/>
      <c r="H27" s="21"/>
      <c r="I27" s="21"/>
      <c r="J27" s="21"/>
      <c r="K27" s="21"/>
      <c r="L27" s="21"/>
    </row>
    <row r="28" spans="1:24" ht="35.25" customHeight="1" x14ac:dyDescent="0.3">
      <c r="B28" s="211"/>
      <c r="C28" s="212"/>
      <c r="D28" s="213"/>
      <c r="E28" s="211"/>
      <c r="F28" s="212"/>
      <c r="G28" s="213"/>
    </row>
    <row r="29" spans="1:24" x14ac:dyDescent="0.3">
      <c r="B29" s="211"/>
      <c r="C29" s="212"/>
      <c r="D29" s="213"/>
      <c r="E29" s="211"/>
      <c r="F29" s="212"/>
      <c r="G29" s="213"/>
    </row>
    <row r="30" spans="1:24" ht="36" customHeight="1" thickBot="1" x14ac:dyDescent="0.35">
      <c r="B30" s="214"/>
      <c r="C30" s="215"/>
      <c r="D30" s="216"/>
      <c r="E30" s="214"/>
      <c r="F30" s="215"/>
      <c r="G30" s="216"/>
    </row>
  </sheetData>
  <mergeCells count="29">
    <mergeCell ref="B28:D30"/>
    <mergeCell ref="E28:G30"/>
    <mergeCell ref="B21:D22"/>
    <mergeCell ref="E21:G22"/>
    <mergeCell ref="B26:D27"/>
    <mergeCell ref="E26:G27"/>
    <mergeCell ref="B23:D25"/>
    <mergeCell ref="E23:G25"/>
    <mergeCell ref="K17:L18"/>
    <mergeCell ref="K20:L21"/>
    <mergeCell ref="R19:T20"/>
    <mergeCell ref="V19:X20"/>
    <mergeCell ref="B10:D11"/>
    <mergeCell ref="E10:G11"/>
    <mergeCell ref="B15:D16"/>
    <mergeCell ref="E15:G16"/>
    <mergeCell ref="B12:D14"/>
    <mergeCell ref="E12:G14"/>
    <mergeCell ref="I5:J10"/>
    <mergeCell ref="I14:J19"/>
    <mergeCell ref="B17:D19"/>
    <mergeCell ref="E17:G19"/>
    <mergeCell ref="I3:L4"/>
    <mergeCell ref="I12:L13"/>
    <mergeCell ref="B2:D3"/>
    <mergeCell ref="C4:D4"/>
    <mergeCell ref="C5:D5"/>
    <mergeCell ref="C6:D6"/>
    <mergeCell ref="C7:D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334</vt:i4>
      </vt:variant>
    </vt:vector>
  </HeadingPairs>
  <TitlesOfParts>
    <vt:vector size="343" baseType="lpstr">
      <vt:lpstr>Dashboard</vt:lpstr>
      <vt:lpstr>Assumptions</vt:lpstr>
      <vt:lpstr>Formulas</vt:lpstr>
      <vt:lpstr>Financials</vt:lpstr>
      <vt:lpstr>Valuation</vt:lpstr>
      <vt:lpstr>MC_Output</vt:lpstr>
      <vt:lpstr>Scenarios</vt:lpstr>
      <vt:lpstr>MC_Histogram</vt:lpstr>
      <vt:lpstr>Qualitative</vt:lpstr>
      <vt:lpstr>AnnualDilutionPct</vt:lpstr>
      <vt:lpstr>BaseCapEx</vt:lpstr>
      <vt:lpstr>BaseCOGS</vt:lpstr>
      <vt:lpstr>BaseCurrentAssets</vt:lpstr>
      <vt:lpstr>BaseCurrentLiab</vt:lpstr>
      <vt:lpstr>BaseDA</vt:lpstr>
      <vt:lpstr>BaseGA</vt:lpstr>
      <vt:lpstr>BaseGrossProfit</vt:lpstr>
      <vt:lpstr>BaseInventory</vt:lpstr>
      <vt:lpstr>BaseNetIncome</vt:lpstr>
      <vt:lpstr>BaseOpEx</vt:lpstr>
      <vt:lpstr>BaseOpInc</vt:lpstr>
      <vt:lpstr>BaseOtherIncome</vt:lpstr>
      <vt:lpstr>BasePayables</vt:lpstr>
      <vt:lpstr>BasePPE</vt:lpstr>
      <vt:lpstr>BasePreTax</vt:lpstr>
      <vt:lpstr>BaseRD</vt:lpstr>
      <vt:lpstr>BaseReceivables</vt:lpstr>
      <vt:lpstr>BaseRev_1</vt:lpstr>
      <vt:lpstr>BaseRev_2</vt:lpstr>
      <vt:lpstr>BaseRev_3</vt:lpstr>
      <vt:lpstr>BaseRev_4</vt:lpstr>
      <vt:lpstr>BaseRevenue</vt:lpstr>
      <vt:lpstr>BaseSBC</vt:lpstr>
      <vt:lpstr>BaseSM</vt:lpstr>
      <vt:lpstr>BaseYear</vt:lpstr>
      <vt:lpstr>Beta</vt:lpstr>
      <vt:lpstr>BetaValue</vt:lpstr>
      <vt:lpstr>BuybackYield</vt:lpstr>
      <vt:lpstr>CapExPct</vt:lpstr>
      <vt:lpstr>CashBalance</vt:lpstr>
      <vt:lpstr>CompanyName</vt:lpstr>
      <vt:lpstr>CostOfDebt</vt:lpstr>
      <vt:lpstr>CurrentPrice</vt:lpstr>
      <vt:lpstr>CustomInput1Name</vt:lpstr>
      <vt:lpstr>CustomInput2Name</vt:lpstr>
      <vt:lpstr>DAPct</vt:lpstr>
      <vt:lpstr>DCFBasis</vt:lpstr>
      <vt:lpstr>DebtAmortPct</vt:lpstr>
      <vt:lpstr>DebtBalance</vt:lpstr>
      <vt:lpstr>DIO</vt:lpstr>
      <vt:lpstr>DiscountRate</vt:lpstr>
      <vt:lpstr>DPO</vt:lpstr>
      <vt:lpstr>DSO</vt:lpstr>
      <vt:lpstr>EquityRiskPrem</vt:lpstr>
      <vt:lpstr>ERP</vt:lpstr>
      <vt:lpstr>ExitMultiple</vt:lpstr>
      <vt:lpstr>FixedCOGS</vt:lpstr>
      <vt:lpstr>FixedCostInflation</vt:lpstr>
      <vt:lpstr>FixedGA</vt:lpstr>
      <vt:lpstr>FixedRD</vt:lpstr>
      <vt:lpstr>FixedSM</vt:lpstr>
      <vt:lpstr>ForecastEnd</vt:lpstr>
      <vt:lpstr>ForecastEndYear</vt:lpstr>
      <vt:lpstr>GAPct</vt:lpstr>
      <vt:lpstr>GrossMargin</vt:lpstr>
      <vt:lpstr>Growth_1_Y1</vt:lpstr>
      <vt:lpstr>Growth_1_Y10</vt:lpstr>
      <vt:lpstr>Growth_1_Y11</vt:lpstr>
      <vt:lpstr>Growth_1_Y2</vt:lpstr>
      <vt:lpstr>Growth_1_Y3</vt:lpstr>
      <vt:lpstr>Growth_1_Y4</vt:lpstr>
      <vt:lpstr>Growth_1_Y5</vt:lpstr>
      <vt:lpstr>Growth_1_Y6</vt:lpstr>
      <vt:lpstr>Growth_1_Y7</vt:lpstr>
      <vt:lpstr>Growth_1_Y8</vt:lpstr>
      <vt:lpstr>Growth_1_Y9</vt:lpstr>
      <vt:lpstr>Growth_2_Y1</vt:lpstr>
      <vt:lpstr>Growth_2_Y10</vt:lpstr>
      <vt:lpstr>Growth_2_Y11</vt:lpstr>
      <vt:lpstr>Growth_2_Y2</vt:lpstr>
      <vt:lpstr>Growth_2_Y3</vt:lpstr>
      <vt:lpstr>Growth_2_Y4</vt:lpstr>
      <vt:lpstr>Growth_2_Y5</vt:lpstr>
      <vt:lpstr>Growth_2_Y6</vt:lpstr>
      <vt:lpstr>Growth_2_Y7</vt:lpstr>
      <vt:lpstr>Growth_2_Y8</vt:lpstr>
      <vt:lpstr>Growth_2_Y9</vt:lpstr>
      <vt:lpstr>Growth_3_Y1</vt:lpstr>
      <vt:lpstr>Growth_3_Y10</vt:lpstr>
      <vt:lpstr>Growth_3_Y11</vt:lpstr>
      <vt:lpstr>Growth_3_Y2</vt:lpstr>
      <vt:lpstr>Growth_3_Y3</vt:lpstr>
      <vt:lpstr>Growth_3_Y4</vt:lpstr>
      <vt:lpstr>Growth_3_Y5</vt:lpstr>
      <vt:lpstr>Growth_3_Y6</vt:lpstr>
      <vt:lpstr>Growth_3_Y7</vt:lpstr>
      <vt:lpstr>Growth_3_Y8</vt:lpstr>
      <vt:lpstr>Growth_3_Y9</vt:lpstr>
      <vt:lpstr>Growth_4_Y1</vt:lpstr>
      <vt:lpstr>Growth_4_Y10</vt:lpstr>
      <vt:lpstr>Growth_4_Y11</vt:lpstr>
      <vt:lpstr>Growth_4_Y2</vt:lpstr>
      <vt:lpstr>Growth_4_Y3</vt:lpstr>
      <vt:lpstr>Growth_4_Y4</vt:lpstr>
      <vt:lpstr>Growth_4_Y5</vt:lpstr>
      <vt:lpstr>Growth_4_Y6</vt:lpstr>
      <vt:lpstr>Growth_4_Y7</vt:lpstr>
      <vt:lpstr>Growth_4_Y8</vt:lpstr>
      <vt:lpstr>Growth_4_Y9</vt:lpstr>
      <vt:lpstr>GrowthCapExFactor</vt:lpstr>
      <vt:lpstr>MaintCapExPct</vt:lpstr>
      <vt:lpstr>Max</vt:lpstr>
      <vt:lpstr>MC_AutoCorr</vt:lpstr>
      <vt:lpstr>MC_CapEx_Dist</vt:lpstr>
      <vt:lpstr>MC_CapEx_P1</vt:lpstr>
      <vt:lpstr>MC_CapEx_P2</vt:lpstr>
      <vt:lpstr>MC_CapEx_P3</vt:lpstr>
      <vt:lpstr>MC_Custom1_Dist</vt:lpstr>
      <vt:lpstr>MC_Custom1_P1</vt:lpstr>
      <vt:lpstr>MC_Custom1_P2</vt:lpstr>
      <vt:lpstr>MC_Custom1_P3</vt:lpstr>
      <vt:lpstr>MC_Custom2_Dist</vt:lpstr>
      <vt:lpstr>MC_Custom2_P1</vt:lpstr>
      <vt:lpstr>MC_Custom2_P2</vt:lpstr>
      <vt:lpstr>MC_Custom2_P3</vt:lpstr>
      <vt:lpstr>MC_DR_Dist</vt:lpstr>
      <vt:lpstr>MC_DR_P1</vt:lpstr>
      <vt:lpstr>MC_DR_P2</vt:lpstr>
      <vt:lpstr>MC_DR_P3</vt:lpstr>
      <vt:lpstr>MC_GM_Dist</vt:lpstr>
      <vt:lpstr>MC_GM_P1</vt:lpstr>
      <vt:lpstr>MC_GM_P2</vt:lpstr>
      <vt:lpstr>MC_GM_P3</vt:lpstr>
      <vt:lpstr>MC_GrowthDRCorr</vt:lpstr>
      <vt:lpstr>MC_MarginGrowthCorr</vt:lpstr>
      <vt:lpstr>MC_MeanRevSpeed</vt:lpstr>
      <vt:lpstr>MC_Phase1_EndYear</vt:lpstr>
      <vt:lpstr>MC_Phase2_EndYear</vt:lpstr>
      <vt:lpstr>MC_PhaseNear_Dist</vt:lpstr>
      <vt:lpstr>MC_PhaseNear_P1</vt:lpstr>
      <vt:lpstr>MC_PhaseNear_P2</vt:lpstr>
      <vt:lpstr>MC_PhaseNear_P3</vt:lpstr>
      <vt:lpstr>MC_PhaseTerminal_Dist</vt:lpstr>
      <vt:lpstr>MC_PhaseTerminal_P1</vt:lpstr>
      <vt:lpstr>MC_PhaseTerminal_P2</vt:lpstr>
      <vt:lpstr>MC_PhaseTerminal_P3</vt:lpstr>
      <vt:lpstr>MC_PhaseUncertain_Dist</vt:lpstr>
      <vt:lpstr>MC_PhaseUncertain_P1</vt:lpstr>
      <vt:lpstr>MC_PhaseUncertain_P2</vt:lpstr>
      <vt:lpstr>MC_PhaseUncertain_P3</vt:lpstr>
      <vt:lpstr>MC_Seg1Growth_Dist</vt:lpstr>
      <vt:lpstr>MC_Seg1Growth_P1</vt:lpstr>
      <vt:lpstr>MC_Seg1Growth_P2</vt:lpstr>
      <vt:lpstr>MC_Seg1Growth_P3</vt:lpstr>
      <vt:lpstr>MC_Seg2Growth_Dist</vt:lpstr>
      <vt:lpstr>MC_Seg2Growth_P1</vt:lpstr>
      <vt:lpstr>MC_Seg2Growth_P2</vt:lpstr>
      <vt:lpstr>MC_Seg2Growth_P3</vt:lpstr>
      <vt:lpstr>MC_Seg3Growth_Dist</vt:lpstr>
      <vt:lpstr>MC_Seg3Growth_P1</vt:lpstr>
      <vt:lpstr>MC_Seg3Growth_P2</vt:lpstr>
      <vt:lpstr>MC_Seg3Growth_P3</vt:lpstr>
      <vt:lpstr>MC_Seg4Growth_Dist</vt:lpstr>
      <vt:lpstr>MC_Seg4Growth_P1</vt:lpstr>
      <vt:lpstr>MC_Seg4Growth_P2</vt:lpstr>
      <vt:lpstr>MC_Seg4Growth_P3</vt:lpstr>
      <vt:lpstr>MC_Tax_Dist</vt:lpstr>
      <vt:lpstr>MC_Tax_P1</vt:lpstr>
      <vt:lpstr>MC_Tax_P2</vt:lpstr>
      <vt:lpstr>MC_Tax_P3</vt:lpstr>
      <vt:lpstr>MC_TGR_Dist</vt:lpstr>
      <vt:lpstr>MC_TGR_P1</vt:lpstr>
      <vt:lpstr>MC_TGR_P2</vt:lpstr>
      <vt:lpstr>MC_TGR_P3</vt:lpstr>
      <vt:lpstr>MCIterations</vt:lpstr>
      <vt:lpstr>NWCPctRev</vt:lpstr>
      <vt:lpstr>PerpetuityYears</vt:lpstr>
      <vt:lpstr>PPEUsefulLife</vt:lpstr>
      <vt:lpstr>RDPct</vt:lpstr>
      <vt:lpstr>RiskFreeRate</vt:lpstr>
      <vt:lpstr>ROIC</vt:lpstr>
      <vt:lpstr>SBCPct</vt:lpstr>
      <vt:lpstr>Scen_Base_CapExAdj</vt:lpstr>
      <vt:lpstr>Scen_Base_Decay</vt:lpstr>
      <vt:lpstr>Scen_Base_DRAdj</vt:lpstr>
      <vt:lpstr>Scen_Base_GMAdj</vt:lpstr>
      <vt:lpstr>Scen_Base_GMAdj_Y1</vt:lpstr>
      <vt:lpstr>Scen_Base_GMAdj_Y10</vt:lpstr>
      <vt:lpstr>Scen_Base_GMAdj_Y11</vt:lpstr>
      <vt:lpstr>Scen_Base_GMAdj_Y2</vt:lpstr>
      <vt:lpstr>Scen_Base_GMAdj_Y3</vt:lpstr>
      <vt:lpstr>Scen_Base_GMAdj_Y4</vt:lpstr>
      <vt:lpstr>Scen_Base_GMAdj_Y5</vt:lpstr>
      <vt:lpstr>Scen_Base_GMAdj_Y6</vt:lpstr>
      <vt:lpstr>Scen_Base_GMAdj_Y7</vt:lpstr>
      <vt:lpstr>Scen_Base_GMAdj_Y8</vt:lpstr>
      <vt:lpstr>Scen_Base_GMAdj_Y9</vt:lpstr>
      <vt:lpstr>Scen_Base_GrowthAdj_Y1</vt:lpstr>
      <vt:lpstr>Scen_Base_GrowthAdj_Y10</vt:lpstr>
      <vt:lpstr>Scen_Base_GrowthAdj_Y11</vt:lpstr>
      <vt:lpstr>Scen_Base_GrowthAdj_Y2</vt:lpstr>
      <vt:lpstr>Scen_Base_GrowthAdj_Y3</vt:lpstr>
      <vt:lpstr>Scen_Base_GrowthAdj_Y4</vt:lpstr>
      <vt:lpstr>Scen_Base_GrowthAdj_Y5</vt:lpstr>
      <vt:lpstr>Scen_Base_GrowthAdj_Y6</vt:lpstr>
      <vt:lpstr>Scen_Base_GrowthAdj_Y7</vt:lpstr>
      <vt:lpstr>Scen_Base_GrowthAdj_Y8</vt:lpstr>
      <vt:lpstr>Scen_Base_GrowthAdj_Y9</vt:lpstr>
      <vt:lpstr>Scen_Base_Prob</vt:lpstr>
      <vt:lpstr>Scen_Base_RevAdj</vt:lpstr>
      <vt:lpstr>Scen_Base_TaxAdj</vt:lpstr>
      <vt:lpstr>Scen_Base_TGRAdj</vt:lpstr>
      <vt:lpstr>Scen_Bear_CapExAdj</vt:lpstr>
      <vt:lpstr>Scen_Bear_Decay</vt:lpstr>
      <vt:lpstr>Scen_Bear_DRAdj</vt:lpstr>
      <vt:lpstr>Scen_Bear_GMAdj</vt:lpstr>
      <vt:lpstr>Scen_Bear_GMAdj_Y1</vt:lpstr>
      <vt:lpstr>Scen_Bear_GMAdj_Y10</vt:lpstr>
      <vt:lpstr>Scen_Bear_GMAdj_Y11</vt:lpstr>
      <vt:lpstr>Scen_Bear_GMAdj_Y2</vt:lpstr>
      <vt:lpstr>Scen_Bear_GMAdj_Y3</vt:lpstr>
      <vt:lpstr>Scen_Bear_GMAdj_Y4</vt:lpstr>
      <vt:lpstr>Scen_Bear_GMAdj_Y5</vt:lpstr>
      <vt:lpstr>Scen_Bear_GMAdj_Y6</vt:lpstr>
      <vt:lpstr>Scen_Bear_GMAdj_Y7</vt:lpstr>
      <vt:lpstr>Scen_Bear_GMAdj_Y8</vt:lpstr>
      <vt:lpstr>Scen_Bear_GMAdj_Y9</vt:lpstr>
      <vt:lpstr>Scen_Bear_GrowthAdj_Y1</vt:lpstr>
      <vt:lpstr>Scen_Bear_GrowthAdj_Y10</vt:lpstr>
      <vt:lpstr>Scen_Bear_GrowthAdj_Y11</vt:lpstr>
      <vt:lpstr>Scen_Bear_GrowthAdj_Y2</vt:lpstr>
      <vt:lpstr>Scen_Bear_GrowthAdj_Y3</vt:lpstr>
      <vt:lpstr>Scen_Bear_GrowthAdj_Y4</vt:lpstr>
      <vt:lpstr>Scen_Bear_GrowthAdj_Y5</vt:lpstr>
      <vt:lpstr>Scen_Bear_GrowthAdj_Y6</vt:lpstr>
      <vt:lpstr>Scen_Bear_GrowthAdj_Y7</vt:lpstr>
      <vt:lpstr>Scen_Bear_GrowthAdj_Y8</vt:lpstr>
      <vt:lpstr>Scen_Bear_GrowthAdj_Y9</vt:lpstr>
      <vt:lpstr>Scen_Bear_Prob</vt:lpstr>
      <vt:lpstr>Scen_Bear_RevAdj</vt:lpstr>
      <vt:lpstr>Scen_Bear_TaxAdj</vt:lpstr>
      <vt:lpstr>Scen_Bear_TGRAdj</vt:lpstr>
      <vt:lpstr>Scen_Bull_CapExAdj</vt:lpstr>
      <vt:lpstr>Scen_Bull_Decay</vt:lpstr>
      <vt:lpstr>Scen_Bull_DRAdj</vt:lpstr>
      <vt:lpstr>Scen_Bull_GMAdj</vt:lpstr>
      <vt:lpstr>Scen_Bull_GMAdj_Y1</vt:lpstr>
      <vt:lpstr>Scen_Bull_GMAdj_Y10</vt:lpstr>
      <vt:lpstr>Scen_Bull_GMAdj_Y11</vt:lpstr>
      <vt:lpstr>Scen_Bull_GMAdj_Y2</vt:lpstr>
      <vt:lpstr>Scen_Bull_GMAdj_Y3</vt:lpstr>
      <vt:lpstr>Scen_Bull_GMAdj_Y4</vt:lpstr>
      <vt:lpstr>Scen_Bull_GMAdj_Y5</vt:lpstr>
      <vt:lpstr>Scen_Bull_GMAdj_Y6</vt:lpstr>
      <vt:lpstr>Scen_Bull_GMAdj_Y7</vt:lpstr>
      <vt:lpstr>Scen_Bull_GMAdj_Y8</vt:lpstr>
      <vt:lpstr>Scen_Bull_GMAdj_Y9</vt:lpstr>
      <vt:lpstr>Scen_Bull_GrowthAdj_Y1</vt:lpstr>
      <vt:lpstr>Scen_Bull_GrowthAdj_Y10</vt:lpstr>
      <vt:lpstr>Scen_Bull_GrowthAdj_Y11</vt:lpstr>
      <vt:lpstr>Scen_Bull_GrowthAdj_Y2</vt:lpstr>
      <vt:lpstr>Scen_Bull_GrowthAdj_Y3</vt:lpstr>
      <vt:lpstr>Scen_Bull_GrowthAdj_Y4</vt:lpstr>
      <vt:lpstr>Scen_Bull_GrowthAdj_Y5</vt:lpstr>
      <vt:lpstr>Scen_Bull_GrowthAdj_Y6</vt:lpstr>
      <vt:lpstr>Scen_Bull_GrowthAdj_Y7</vt:lpstr>
      <vt:lpstr>Scen_Bull_GrowthAdj_Y8</vt:lpstr>
      <vt:lpstr>Scen_Bull_GrowthAdj_Y9</vt:lpstr>
      <vt:lpstr>Scen_Bull_Prob</vt:lpstr>
      <vt:lpstr>Scen_Bull_RevAdj</vt:lpstr>
      <vt:lpstr>Scen_Bull_TaxAdj</vt:lpstr>
      <vt:lpstr>Scen_Bull_TGRAdj</vt:lpstr>
      <vt:lpstr>SegGM_1</vt:lpstr>
      <vt:lpstr>SegGM_1_Y1</vt:lpstr>
      <vt:lpstr>SegGM_1_Y10</vt:lpstr>
      <vt:lpstr>SegGM_1_Y11</vt:lpstr>
      <vt:lpstr>SegGM_1_Y2</vt:lpstr>
      <vt:lpstr>SegGM_1_Y3</vt:lpstr>
      <vt:lpstr>SegGM_1_Y4</vt:lpstr>
      <vt:lpstr>SegGM_1_Y5</vt:lpstr>
      <vt:lpstr>SegGM_1_Y6</vt:lpstr>
      <vt:lpstr>SegGM_1_Y7</vt:lpstr>
      <vt:lpstr>SegGM_1_Y8</vt:lpstr>
      <vt:lpstr>SegGM_1_Y9</vt:lpstr>
      <vt:lpstr>SegGM_2</vt:lpstr>
      <vt:lpstr>SegGM_2_Y1</vt:lpstr>
      <vt:lpstr>SegGM_2_Y10</vt:lpstr>
      <vt:lpstr>SegGM_2_Y11</vt:lpstr>
      <vt:lpstr>SegGM_2_Y2</vt:lpstr>
      <vt:lpstr>SegGM_2_Y3</vt:lpstr>
      <vt:lpstr>SegGM_2_Y4</vt:lpstr>
      <vt:lpstr>SegGM_2_Y5</vt:lpstr>
      <vt:lpstr>SegGM_2_Y6</vt:lpstr>
      <vt:lpstr>SegGM_2_Y7</vt:lpstr>
      <vt:lpstr>SegGM_2_Y8</vt:lpstr>
      <vt:lpstr>SegGM_2_Y9</vt:lpstr>
      <vt:lpstr>SegGM_3</vt:lpstr>
      <vt:lpstr>SegGM_3_Y1</vt:lpstr>
      <vt:lpstr>SegGM_3_Y10</vt:lpstr>
      <vt:lpstr>SegGM_3_Y11</vt:lpstr>
      <vt:lpstr>SegGM_3_Y2</vt:lpstr>
      <vt:lpstr>SegGM_3_Y3</vt:lpstr>
      <vt:lpstr>SegGM_3_Y4</vt:lpstr>
      <vt:lpstr>SegGM_3_Y5</vt:lpstr>
      <vt:lpstr>SegGM_3_Y6</vt:lpstr>
      <vt:lpstr>SegGM_3_Y7</vt:lpstr>
      <vt:lpstr>SegGM_3_Y8</vt:lpstr>
      <vt:lpstr>SegGM_3_Y9</vt:lpstr>
      <vt:lpstr>SegGM_4</vt:lpstr>
      <vt:lpstr>SegGM_4_Y1</vt:lpstr>
      <vt:lpstr>SegGM_4_Y10</vt:lpstr>
      <vt:lpstr>SegGM_4_Y11</vt:lpstr>
      <vt:lpstr>SegGM_4_Y2</vt:lpstr>
      <vt:lpstr>SegGM_4_Y3</vt:lpstr>
      <vt:lpstr>SegGM_4_Y4</vt:lpstr>
      <vt:lpstr>SegGM_4_Y5</vt:lpstr>
      <vt:lpstr>SegGM_4_Y6</vt:lpstr>
      <vt:lpstr>SegGM_4_Y7</vt:lpstr>
      <vt:lpstr>SegGM_4_Y8</vt:lpstr>
      <vt:lpstr>SegGM_4_Y9</vt:lpstr>
      <vt:lpstr>SegmentCount</vt:lpstr>
      <vt:lpstr>SegName_1</vt:lpstr>
      <vt:lpstr>SegName_2</vt:lpstr>
      <vt:lpstr>SegName_3</vt:lpstr>
      <vt:lpstr>SegName_4</vt:lpstr>
      <vt:lpstr>SharesOut</vt:lpstr>
      <vt:lpstr>SMPct</vt:lpstr>
      <vt:lpstr>TargetDebtToEquity</vt:lpstr>
      <vt:lpstr>TaxRate</vt:lpstr>
      <vt:lpstr>TGR</vt:lpstr>
      <vt:lpstr>TVMethod</vt:lpstr>
      <vt:lpstr>UseAssetHeavy</vt:lpstr>
      <vt:lpstr>UseDetailedNWC</vt:lpstr>
      <vt:lpstr>UseSegmentGM</vt:lpstr>
      <vt:lpstr>UseTargetCapStruct</vt:lpstr>
      <vt:lpstr>UseWACC</vt:lpstr>
      <vt:lpstr>UseWorkingCap</vt:lpstr>
      <vt:lpstr>UseYoYGM</vt:lpstr>
      <vt:lpstr>VarCOGSPct</vt:lpstr>
      <vt:lpstr>VarGAPct</vt:lpstr>
      <vt:lpstr>VarRDPct</vt:lpstr>
      <vt:lpstr>VarSMPct</vt:lpstr>
      <vt:lpstr>YoYGM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Rishi Gupta</dc:creator>
  <cp:lastModifiedBy>Rishi Gupta</cp:lastModifiedBy>
  <dcterms:created xsi:type="dcterms:W3CDTF">2026-02-23T23:51:03Z</dcterms:created>
  <dcterms:modified xsi:type="dcterms:W3CDTF">2026-04-06T07:11:00Z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5df6af5-5537-4906-b541-3261c1163f03_Enabled">
    <vt:lpwstr>true</vt:lpwstr>
  </property>
  <property fmtid="{D5CDD505-2E9C-101B-9397-08002B2CF9AE}" pid="3" name="MSIP_Label_25df6af5-5537-4906-b541-3261c1163f03_SetDate">
    <vt:lpwstr>2026-02-23T23:51:44Z</vt:lpwstr>
  </property>
  <property fmtid="{D5CDD505-2E9C-101B-9397-08002B2CF9AE}" pid="4" name="MSIP_Label_25df6af5-5537-4906-b541-3261c1163f03_Method">
    <vt:lpwstr>Standard</vt:lpwstr>
  </property>
  <property fmtid="{D5CDD505-2E9C-101B-9397-08002B2CF9AE}" pid="5" name="MSIP_Label_25df6af5-5537-4906-b541-3261c1163f03_Name">
    <vt:lpwstr>General</vt:lpwstr>
  </property>
  <property fmtid="{D5CDD505-2E9C-101B-9397-08002B2CF9AE}" pid="6" name="MSIP_Label_25df6af5-5537-4906-b541-3261c1163f03_SiteId">
    <vt:lpwstr>27d2d8be-9c52-44f1-99e8-54f808cf7bf5</vt:lpwstr>
  </property>
  <property fmtid="{D5CDD505-2E9C-101B-9397-08002B2CF9AE}" pid="7" name="MSIP_Label_25df6af5-5537-4906-b541-3261c1163f03_ActionId">
    <vt:lpwstr>e1975415-445d-4c8c-b679-bbb0e5c775e3</vt:lpwstr>
  </property>
  <property fmtid="{D5CDD505-2E9C-101B-9397-08002B2CF9AE}" pid="8" name="MSIP_Label_25df6af5-5537-4906-b541-3261c1163f03_ContentBits">
    <vt:lpwstr>0</vt:lpwstr>
  </property>
  <property fmtid="{D5CDD505-2E9C-101B-9397-08002B2CF9AE}" pid="9" name="MSIP_Label_25df6af5-5537-4906-b541-3261c1163f03_Tag">
    <vt:lpwstr>10, 3, 0, 1</vt:lpwstr>
  </property>
</Properties>
</file>